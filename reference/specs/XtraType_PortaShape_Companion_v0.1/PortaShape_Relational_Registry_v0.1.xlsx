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5f57b7766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6bafb82b194d55"/>
    <x:sheet xmlns:r="http://schemas.openxmlformats.org/officeDocument/2006/relationships" name="Modules" sheetId="2" r:id="Rc0b0024d18ae465d"/>
    <x:sheet xmlns:r="http://schemas.openxmlformats.org/officeDocument/2006/relationships" name="Components" sheetId="3" r:id="Rad8145794ac44999"/>
    <x:sheet xmlns:r="http://schemas.openxmlformats.org/officeDocument/2006/relationships" name="Contracts" sheetId="4" r:id="R22ac774da0d84a8e"/>
    <x:sheet xmlns:r="http://schemas.openxmlformats.org/officeDocument/2006/relationships" name="Operations" sheetId="5" r:id="Rc9a14e79ba954eef"/>
    <x:sheet xmlns:r="http://schemas.openxmlformats.org/officeDocument/2006/relationships" name="Permissions" sheetId="6" r:id="R6768009220ad4036"/>
    <x:sheet xmlns:r="http://schemas.openxmlformats.org/officeDocument/2006/relationships" name="Interactions" sheetId="7" r:id="R2445bc96d1d341d7"/>
    <x:sheet xmlns:r="http://schemas.openxmlformats.org/officeDocument/2006/relationships" name="Surfaces" sheetId="8" r:id="R2e83839a15614c92"/>
    <x:sheet xmlns:r="http://schemas.openxmlformats.org/officeDocument/2006/relationships" name="Stages" sheetId="9" r:id="R30cd19b14df04e97"/>
    <x:sheet xmlns:r="http://schemas.openxmlformats.org/officeDocument/2006/relationships" name="Acceptance" sheetId="10" r:id="R7130984ee3fc45fd"/>
    <x:sheet xmlns:r="http://schemas.openxmlformats.org/officeDocument/2006/relationships" name="Decisions" sheetId="11" r:id="R218772d615bc42bd"/>
    <x:sheet xmlns:r="http://schemas.openxmlformats.org/officeDocument/2006/relationships" name="Traceability" sheetId="12" r:id="Rcf127324724c4f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"/>
    <x:numFmt numFmtId="201" formatCode="yyyy-mm-dd"/>
    <x:numFmt numFmtId="202" formatCode="0"/>
  </x:numFmts>
  <x:fonts count="6">
    <x:font>
      <x:sz val="11"/>
      <x:name val="Carlito"/>
    </x:font>
    <x:font>
      <x:sz val="10"/>
      <x:color rgb="FF24344B"/>
      <x:name val="Arial"/>
    </x:font>
    <x:font>
      <x:b/>
      <x:sz val="14"/>
      <x:color rgb="FF24344B"/>
      <x:name val="Arial"/>
    </x:font>
    <x:font>
      <x:i/>
      <x:sz val="10"/>
      <x:color rgb="FF52637A"/>
      <x:name val="Arial"/>
    </x:font>
    <x:font>
      <x:b/>
      <x:sz val="10"/>
      <x:color rgb="FFFFFFFF"/>
      <x:name val="Arial"/>
    </x:font>
    <x:font>
      <x:b/>
      <x:sz val="10"/>
      <x:color rgb="FF24344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24A6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  <x:dxfs count="2">
    <x:dxf>
      <x:font>
        <x:color rgb="FF805214"/>
      </x:font>
      <x:fill>
        <x:patternFill patternType="solid">
          <x:bgColor rgb="FFFFF0D6"/>
        </x:patternFill>
      </x:fill>
    </x:dxf>
    <x:dxf>
      <x:font>
        <x:color rgb="FF29496B"/>
      </x:font>
      <x:fill>
        <x:patternFill patternType="solid">
          <x:bgColor rgb="FFEAF0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dabab84e34190" /><Relationship Type="http://schemas.openxmlformats.org/officeDocument/2006/relationships/theme" Target="/xl/theme/theme1.xml" Id="Rda3b165ee3f04aff" /><Relationship Type="http://schemas.openxmlformats.org/officeDocument/2006/relationships/sharedStrings" Target="/xl/sharedStrings.xml" Id="Rd9668070b15b4429" /><Relationship Type="http://schemas.openxmlformats.org/officeDocument/2006/relationships/worksheet" Target="/xl/worksheets/sheet1.xml" Id="Rb86bafb82b194d55" /><Relationship Type="http://schemas.openxmlformats.org/officeDocument/2006/relationships/worksheet" Target="/xl/worksheets/sheet2.xml" Id="Rc0b0024d18ae465d" /><Relationship Type="http://schemas.openxmlformats.org/officeDocument/2006/relationships/worksheet" Target="/xl/worksheets/sheet3.xml" Id="Rad8145794ac44999" /><Relationship Type="http://schemas.openxmlformats.org/officeDocument/2006/relationships/worksheet" Target="/xl/worksheets/sheet4.xml" Id="R22ac774da0d84a8e" /><Relationship Type="http://schemas.openxmlformats.org/officeDocument/2006/relationships/worksheet" Target="/xl/worksheets/sheet5.xml" Id="Rc9a14e79ba954eef" /><Relationship Type="http://schemas.openxmlformats.org/officeDocument/2006/relationships/worksheet" Target="/xl/worksheets/sheet6.xml" Id="R6768009220ad4036" /><Relationship Type="http://schemas.openxmlformats.org/officeDocument/2006/relationships/worksheet" Target="/xl/worksheets/sheet7.xml" Id="R2445bc96d1d341d7" /><Relationship Type="http://schemas.openxmlformats.org/officeDocument/2006/relationships/worksheet" Target="/xl/worksheets/sheet8.xml" Id="R2e83839a15614c92" /><Relationship Type="http://schemas.openxmlformats.org/officeDocument/2006/relationships/worksheet" Target="/xl/worksheets/sheet9.xml" Id="R30cd19b14df04e97" /><Relationship Type="http://schemas.openxmlformats.org/officeDocument/2006/relationships/worksheet" Target="/xl/worksheets/sheet10.xml" Id="R7130984ee3fc45fd" /><Relationship Type="http://schemas.openxmlformats.org/officeDocument/2006/relationships/worksheet" Target="/xl/worksheets/sheet11.xml" Id="R218772d615bc42bd" /><Relationship Type="http://schemas.openxmlformats.org/officeDocument/2006/relationships/worksheet" Target="/xl/worksheets/sheet12.xml" Id="Rcf127324724c4f87" /></Relationships>
</file>

<file path=xl/tables/table1.xml><?xml version="1.0" encoding="utf-8"?>
<x:table xmlns:x="http://schemas.openxmlformats.org/spreadsheetml/2006/main" id="1" name="ModulesRegistry" displayName="ModulesRegistry" ref="A5:G13" headerRowCount="1" totalsRowCount="0" totalsRowShown="0">
  <x:autoFilter ref="A5:G13"/>
  <x:tableColumns count="7">
    <x:tableColumn id="1" name="ID"/>
    <x:tableColumn id="2" name="Module"/>
    <x:tableColumn id="3" name="Placement"/>
    <x:tableColumn id="4" name="Responsibility"/>
    <x:tableColumn id="5" name="Baseline status"/>
    <x:tableColumn id="6" name="Spec"/>
    <x:tableColumn id="7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onentsRegistry" displayName="ComponentsRegistry" ref="A5:H65" headerRowCount="1" totalsRowCount="0" totalsRowShown="0">
  <x:autoFilter ref="A5:H65"/>
  <x:tableColumns count="8">
    <x:tableColumn id="1" name="ID"/>
    <x:tableColumn id="2" name="Owner"/>
    <x:tableColumn id="3" name="Component"/>
    <x:tableColumn id="4" name="Responsibility"/>
    <x:tableColumn id="5" name="Status"/>
    <x:tableColumn id="6" name="Stage"/>
    <x:tableColumn id="7" name="Spec"/>
    <x:tableColumn id="8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actsRegistry" displayName="ContractsRegistry" ref="A5:H34" headerRowCount="1" totalsRowCount="0" totalsRowShown="0">
  <x:autoFilter ref="A5:H34"/>
  <x:tableColumns count="8">
    <x:tableColumn id="1" name="ID"/>
    <x:tableColumn id="2" name="Record type"/>
    <x:tableColumn id="3" name="Owner"/>
    <x:tableColumn id="4" name="Meaning"/>
    <x:tableColumn id="5" name="Schema key"/>
    <x:tableColumn id="6" name="Stage"/>
    <x:tableColumn id="7" name="Spec"/>
    <x:tableColumn id="8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erationsRegistry" displayName="OperationsRegistry" ref="A5:J45" headerRowCount="1" totalsRowCount="0" totalsRowShown="0">
  <x:autoFilter ref="A5:J45"/>
  <x:tableColumns count="10">
    <x:tableColumn id="1" name="ID"/>
    <x:tableColumn id="2" name="Operation"/>
    <x:tableColumn id="3" name="Major"/>
    <x:tableColumn id="4" name="Provider"/>
    <x:tableColumn id="5" name="Input"/>
    <x:tableColumn id="6" name="Output"/>
    <x:tableColumn id="7" name="Permission"/>
    <x:tableColumn id="8" name="Effect"/>
    <x:tableColumn id="9" name="Stage"/>
    <x:tableColumn id="10" name="Spec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rmissionsRegistry" displayName="PermissionsRegistry" ref="A5:F20" headerRowCount="1" totalsRowCount="0" totalsRowShown="0">
  <x:autoFilter ref="A5:F20"/>
  <x:tableColumns count="6">
    <x:tableColumn id="1" name="ID"/>
    <x:tableColumn id="2" name="Permission"/>
    <x:tableColumn id="3" name="Owner"/>
    <x:tableColumn id="4" name="Scope"/>
    <x:tableColumn id="5" name="Boundary"/>
    <x:tableColumn id="6" name="Sta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teractionsRegistry" displayName="InteractionsRegistry" ref="A5:G21" headerRowCount="1" totalsRowCount="0" totalsRowShown="0">
  <x:autoFilter ref="A5:G21"/>
  <x:tableColumns count="7">
    <x:tableColumn id="1" name="ID"/>
    <x:tableColumn id="2" name="From"/>
    <x:tableColumn id="3" name="To"/>
    <x:tableColumn id="4" name="Shared seam"/>
    <x:tableColumn id="5" name="Operations"/>
    <x:tableColumn id="6" name="Boundary"/>
    <x:tableColumn id="7" name="Spec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rfacesRegistry" displayName="SurfacesRegistry" ref="A5:G17" headerRowCount="1" totalsRowCount="0" totalsRowShown="0">
  <x:autoFilter ref="A5:G17"/>
  <x:tableColumns count="7">
    <x:tableColumn id="1" name="ID"/>
    <x:tableColumn id="2" name="Owner"/>
    <x:tableColumn id="3" name="Surface"/>
    <x:tableColumn id="4" name="Host"/>
    <x:tableColumn id="5" name="Behavior"/>
    <x:tableColumn id="6" name="Stage"/>
    <x:tableColumn id="7" name="Spec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agesRegistry" displayName="StagesRegistry" ref="A5:D12" headerRowCount="1" totalsRowCount="0" totalsRowShown="0">
  <x:autoFilter ref="A5:D12"/>
  <x:tableColumns count="4">
    <x:tableColumn id="1" name="ID"/>
    <x:tableColumn id="2" name="Stage"/>
    <x:tableColumn id="3" name="Scope"/>
    <x:tableColumn id="4" name="Exit g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cceptanceRegistry" displayName="AcceptanceRegistry" ref="A5:G57" headerRowCount="1" totalsRowCount="0" totalsRowShown="0">
  <x:autoFilter ref="A5:G57"/>
  <x:tableColumns count="7">
    <x:tableColumn id="1" name="ID"/>
    <x:tableColumn id="2" name="Owner"/>
    <x:tableColumn id="3" name="Case"/>
    <x:tableColumn id="4" name="Expected result"/>
    <x:tableColumn id="5" name="Stage"/>
    <x:tableColumn id="6" name="Spec"/>
    <x:tableColumn id="7" name="Evidence 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ecisionsRegistry" displayName="DecisionsRegistry" ref="A5:E23" headerRowCount="1" totalsRowCount="0" totalsRowShown="0">
  <x:autoFilter ref="A5:E23"/>
  <x:tableColumns count="5">
    <x:tableColumn id="1" name="ID"/>
    <x:tableColumn id="2" name="Authority"/>
    <x:tableColumn id="3" name="Decision"/>
    <x:tableColumn id="4" name="Consequence"/>
    <x:tableColumn id="5" name="Spec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raceabilityRegistry" displayName="TraceabilityRegistry" ref="A5:F21" headerRowCount="1" totalsRowCount="0" totalsRowShown="0">
  <x:autoFilter ref="A5:F21"/>
  <x:tableColumns count="6">
    <x:tableColumn id="1" name="ID"/>
    <x:tableColumn id="2" name="Source"/>
    <x:tableColumn id="3" name="Selected content"/>
    <x:tableColumn id="4" name="Disposition"/>
    <x:tableColumn id="5" name="Spec"/>
    <x:tableColumn id="6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e114da658a46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171e34d1ef42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19ec6529924f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0659cd2a7f4a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5e4af0a19a43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a9f9789d654a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3b897772c145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9390e5eac349d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05ef3fd72e346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eeabb8e879a476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8115b8854b14654" /></Relationships>
</file>

<file path=xl/worksheets/sheet1.xml><?xml version="1.0" encoding="utf-8"?>
<x:worksheet xmlns:x="http://schemas.openxmlformats.org/spreadsheetml/2006/main">
  <x:sheetPr>
    <x:tabColor rgb="FF324A68"/>
  </x:sheetPr>
  <x:sheetViews>
    <x:sheetView showGridLines="0" workbookViewId="0"/>
  </x:sheetViews>
  <x:sheetFormatPr defaultRowHeight="15"/>
  <x:cols>
    <x:col min="1" max="1" width="44.439998626708984" hidden="0" customWidth="1"/>
    <x:col min="2" max="2" width="12.220000267028809" hidden="0" customWidth="1"/>
    <x:col min="4" max="4" width="40" hidden="0" customWidth="1"/>
    <x:col min="5" max="5" width="14.4399995803833" hidden="0" customWidth="1"/>
    <x:col min="3" max="3" width="2.7799999713897705" hidden="0" customWidth="1"/>
  </x:cols>
  <x:sheetData>
    <x:row r="1">
      <x:c r="A1" s="1"/>
      <x:c r="B1" s="1"/>
      <x:c r="C1" s="1"/>
      <x:c r="D1" s="1"/>
      <x:c r="E1" s="1"/>
    </x:row>
    <x:row r="2" ht="28" customHeight="1">
      <x:c r="A2" s="2" t="str">
        <x:v>PortaShape relational registry</x:v>
      </x:c>
      <x:c r="B2" s="1"/>
      <x:c r="C2" s="1"/>
      <x:c r="D2" s="1"/>
      <x:c r="E2" s="1"/>
    </x:row>
    <x:row r="3" ht="30" customHeight="1">
      <x:c r="A3" s="1" t="str">
        <x:v>Companion 0.1 · selected scope</x:v>
      </x:c>
      <x:c r="B3" s="14" t="n">
        <x:v>46296</x:v>
      </x:c>
      <x:c r="C3" s="1"/>
      <x:c r="D3" s="1" t="str">
        <x:v>Target specifications; no new runtime verification</x:v>
      </x:c>
      <x:c r="E3" s="1"/>
    </x:row>
    <x:row r="4">
      <x:c r="A4" s="1"/>
      <x:c r="B4" s="1"/>
      <x:c r="C4" s="1"/>
      <x:c r="D4" s="1"/>
      <x:c r="E4" s="1"/>
    </x:row>
    <x:row r="5" ht="28" customHeight="1">
      <x:c r="A5" s="16" t="str">
        <x:v>Inventory</x:v>
      </x:c>
      <x:c r="B5" s="16" t="str">
        <x:v>Rows</x:v>
      </x:c>
      <x:c r="C5" s="1"/>
      <x:c r="D5" s="16" t="str">
        <x:v>Component status</x:v>
      </x:c>
      <x:c r="E5" s="16" t="str">
        <x:v>Rows</x:v>
      </x:c>
    </x:row>
    <x:row r="6" ht="27" customHeight="1">
      <x:c r="A6" s="1" t="str">
        <x:v>Modules</x:v>
      </x:c>
      <x:c r="B6" s="17" t="n">
        <x:f>COUNTA('Modules'!A6:A2000)</x:f>
        <x:v>8</x:v>
      </x:c>
      <x:c r="C6" s="1"/>
      <x:c r="D6" s="1" t="str">
        <x:v>specified</x:v>
      </x:c>
      <x:c r="E6" s="17" t="n">
        <x:f>COUNTIFS(Components!E6:E2000,D6)</x:f>
        <x:v>48</x:v>
      </x:c>
    </x:row>
    <x:row r="7" ht="27" customHeight="1">
      <x:c r="A7" s="1" t="str">
        <x:v>Components</x:v>
      </x:c>
      <x:c r="B7" s="17" t="n">
        <x:f>COUNTA('Components'!A6:A2000)</x:f>
        <x:v>60</x:v>
      </x:c>
      <x:c r="C7" s="1"/>
      <x:c r="D7" s="1" t="str">
        <x:v>existing-narrow</x:v>
      </x:c>
      <x:c r="E7" s="17" t="n">
        <x:f>COUNTIFS(Components!E6:E2000,D7)</x:f>
        <x:v>11</x:v>
      </x:c>
    </x:row>
    <x:row r="8" ht="27" customHeight="1">
      <x:c r="A8" s="1" t="str">
        <x:v>Contracts</x:v>
      </x:c>
      <x:c r="B8" s="17" t="n">
        <x:f>COUNTA('Contracts'!A6:A2000)</x:f>
        <x:v>29</x:v>
      </x:c>
      <x:c r="C8" s="1"/>
      <x:c r="D8" s="1" t="str">
        <x:v>blocked-dependency</x:v>
      </x:c>
      <x:c r="E8" s="17" t="n">
        <x:f>COUNTIFS(Components!E6:E2000,D8)</x:f>
        <x:v>1</x:v>
      </x:c>
    </x:row>
    <x:row r="9" ht="27" customHeight="1">
      <x:c r="A9" s="1" t="str">
        <x:v>Operations</x:v>
      </x:c>
      <x:c r="B9" s="17" t="n">
        <x:f>COUNTA('Operations'!A6:A2000)</x:f>
        <x:v>40</x:v>
      </x:c>
      <x:c r="C9" s="1"/>
      <x:c r="D9" s="1"/>
      <x:c r="E9" s="1"/>
    </x:row>
    <x:row r="10" ht="27" customHeight="1">
      <x:c r="A10" s="1" t="str">
        <x:v>Permissions</x:v>
      </x:c>
      <x:c r="B10" s="17" t="n">
        <x:f>COUNTA('Permissions'!A6:A2000)</x:f>
        <x:v>15</x:v>
      </x:c>
      <x:c r="C10" s="1"/>
      <x:c r="D10" s="1"/>
      <x:c r="E10" s="1"/>
    </x:row>
    <x:row r="11" ht="27" customHeight="1">
      <x:c r="A11" s="1" t="str">
        <x:v>Interactions</x:v>
      </x:c>
      <x:c r="B11" s="17" t="n">
        <x:f>COUNTA('Interactions'!A6:A2000)</x:f>
        <x:v>16</x:v>
      </x:c>
      <x:c r="C11" s="1"/>
      <x:c r="D11" s="1" t="str">
        <x:v>Backend / identity / sync</x:v>
      </x:c>
      <x:c r="E11" s="1" t="str">
        <x:v>Deferred</x:v>
      </x:c>
    </x:row>
    <x:row r="12" ht="27" customHeight="1">
      <x:c r="A12" s="1" t="str">
        <x:v>Surfaces</x:v>
      </x:c>
      <x:c r="B12" s="17" t="n">
        <x:f>COUNTA('Surfaces'!A6:A2000)</x:f>
        <x:v>12</x:v>
      </x:c>
      <x:c r="C12" s="1"/>
      <x:c r="D12" s="1"/>
      <x:c r="E12" s="1"/>
    </x:row>
    <x:row r="13" ht="27" customHeight="1">
      <x:c r="A13" s="1" t="str">
        <x:v>Stages</x:v>
      </x:c>
      <x:c r="B13" s="17" t="n">
        <x:f>COUNTA('Stages'!A6:A2000)</x:f>
        <x:v>7</x:v>
      </x:c>
      <x:c r="C13" s="1"/>
      <x:c r="D13" s="1" t="str">
        <x:v>New application acceptance cases executed</x:v>
      </x:c>
      <x:c r="E13" s="1" t="n">
        <x:f>COUNTIFS(Acceptance!G6:G2000,"Verified")</x:f>
        <x:v>0</x:v>
      </x:c>
    </x:row>
    <x:row r="14" ht="27" customHeight="1">
      <x:c r="A14" s="1" t="str">
        <x:v>Acceptance</x:v>
      </x:c>
      <x:c r="B14" s="17" t="n">
        <x:f>COUNTA('Acceptance'!A6:A2000)</x:f>
        <x:v>52</x:v>
      </x:c>
      <x:c r="C14" s="1"/>
      <x:c r="D14" s="1"/>
      <x:c r="E14" s="1"/>
    </x:row>
    <x:row r="15" ht="27" customHeight="1">
      <x:c r="A15" s="1" t="str">
        <x:v>Decisions</x:v>
      </x:c>
      <x:c r="B15" s="17" t="n">
        <x:f>COUNTA('Decisions'!A6:A2000)</x:f>
        <x:v>18</x:v>
      </x:c>
      <x:c r="C15" s="1"/>
      <x:c r="D15" s="1"/>
      <x:c r="E15" s="1"/>
    </x:row>
    <x:row r="16" ht="27" customHeight="1">
      <x:c r="A16" s="1" t="str">
        <x:v>Traceability</x:v>
      </x:c>
      <x:c r="B16" s="17" t="n">
        <x:f>COUNTA('Traceability'!A6:A2000)</x:f>
        <x:v>16</x:v>
      </x:c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 ht="24" customHeight="1">
      <x:c r="A19" s="18" t="str">
        <x:v>Registry maintenance</x:v>
      </x:c>
      <x:c r="B19" s="1"/>
      <x:c r="C19" s="1"/>
      <x:c r="D19" s="18" t="str">
        <x:v>Authority</x:v>
      </x:c>
      <x:c r="E19" s="1"/>
    </x:row>
    <x:row r="20" ht="24" customHeight="1">
      <x:c r="A20" s="1" t="str">
        <x:v>Update with each contract or release change.</x:v>
      </x:c>
      <x:c r="B20" s="1"/>
      <x:c r="C20" s="1"/>
      <x:c r="D20" s="1" t="str">
        <x:v>Owner selection precedes prototype definitions.</x:v>
      </x:c>
      <x:c r="E20" s="1"/>
    </x:row>
    <x:row r="21" ht="24" customHeight="1">
      <x:c r="A21" s="1" t="str">
        <x:v>Reconcile workbook edits into registry.json and specs.</x:v>
      </x:c>
      <x:c r="B21" s="1"/>
      <x:c r="C21" s="1"/>
      <x:c r="D21" s="1" t="str">
        <x:v>Traceability identifies retained and deferred scope.</x:v>
      </x:c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329999923706055" hidden="0" customWidth="1"/>
    <x:col min="2" max="2" width="25.559999465942383" hidden="0" customWidth="1"/>
    <x:col min="3" max="3" width="19.440000534057617" hidden="0" customWidth="1"/>
    <x:col min="4" max="4" width="51.11000061035156" hidden="0" customWidth="1"/>
    <x:col min="5" max="5" width="25.559999465942383" hidden="0" customWidth="1"/>
    <x:col min="6" max="6" width="8.329999923706055" hidden="0" customWidth="1"/>
    <x:col min="7" max="7" width="1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6" customHeight="1">
      <x:c r="A2" s="2" t="str">
        <x:v>Modules</x:v>
      </x:c>
      <x:c r="B2" s="1"/>
      <x:c r="C2" s="1"/>
      <x:c r="D2" s="1"/>
      <x:c r="E2" s="1"/>
      <x:c r="F2" s="1"/>
      <x:c r="G2" s="1"/>
    </x:row>
    <x:row r="3">
      <x:c r="A3" s="3" t="str">
        <x:v>Companion 0.1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0" customHeight="1">
      <x:c r="A5" s="10" t="str">
        <x:v>ID</x:v>
      </x:c>
      <x:c r="B5" s="11" t="str">
        <x:v>Module</x:v>
      </x:c>
      <x:c r="C5" s="11" t="str">
        <x:v>Placement</x:v>
      </x:c>
      <x:c r="D5" s="11" t="str">
        <x:v>Responsibility</x:v>
      </x:c>
      <x:c r="E5" s="11" t="str">
        <x:v>Baseline status</x:v>
      </x:c>
      <x:c r="F5" s="11" t="str">
        <x:v>Spec</x:v>
      </x:c>
      <x:c r="G5" s="12" t="str">
        <x:v>Source</x:v>
      </x:c>
    </x:row>
    <x:row r="6" ht="42" customHeight="1">
      <x:c r="A6" s="5" t="str">
        <x:v>PS</x:v>
      </x:c>
      <x:c r="B6" s="5" t="str">
        <x:v>PortaShape</x:v>
      </x:c>
      <x:c r="C6" s="5" t="str">
        <x:v>Core service</x:v>
      </x:c>
      <x:c r="D6" s="5" t="str">
        <x:v>Plugin installation, grants, local invocation and interoperability boundary</x:v>
      </x:c>
      <x:c r="E6" s="5" t="str">
        <x:v>New</x:v>
      </x:c>
      <x:c r="F6" s="13" t="str">
        <x:v>01</x:v>
      </x:c>
      <x:c r="G6" s="5" t="str">
        <x:v>USER; DEC-01</x:v>
      </x:c>
    </x:row>
    <x:row r="7" ht="30" customHeight="1">
      <x:c r="A7" s="5" t="str">
        <x:v>XT</x:v>
      </x:c>
      <x:c r="B7" s="5" t="str">
        <x:v>XtraType</x:v>
      </x:c>
      <x:c r="C7" s="5" t="str">
        <x:v>First-party client</x:v>
      </x:c>
      <x:c r="D7" s="5" t="str">
        <x:v>Context, annotations, anchors and relationships</x:v>
      </x:c>
      <x:c r="E7" s="5" t="str">
        <x:v>Existing foundation + specified</x:v>
      </x:c>
      <x:c r="F7" s="13" t="str">
        <x:v>04</x:v>
      </x:c>
      <x:c r="G7" s="5" t="str">
        <x:v>USER; D06</x:v>
      </x:c>
    </x:row>
    <x:row r="8" ht="30" customHeight="1">
      <x:c r="A8" s="5" t="str">
        <x:v>SS</x:v>
      </x:c>
      <x:c r="B8" s="5" t="str">
        <x:v>Script Studio</x:v>
      </x:c>
      <x:c r="C8" s="5" t="str">
        <x:v>Plugin</x:v>
      </x:c>
      <x:c r="D8" s="5" t="str">
        <x:v>User JavaScript authoring, installation, testing and promotion</x:v>
      </x:c>
      <x:c r="E8" s="5" t="str">
        <x:v>Specified</x:v>
      </x:c>
      <x:c r="F8" s="13" t="str">
        <x:v>05</x:v>
      </x:c>
      <x:c r="G8" s="5" t="str">
        <x:v>USER; D05</x:v>
      </x:c>
    </x:row>
    <x:row r="9" ht="30" customHeight="1">
      <x:c r="A9" s="5" t="str">
        <x:v>DRY</x:v>
      </x:c>
      <x:c r="B9" s="5" t="str">
        <x:v>Stay D.R.Y.</x:v>
      </x:c>
      <x:c r="C9" s="5" t="str">
        <x:v>Plugin</x:v>
      </x:c>
      <x:c r="D9" s="5" t="str">
        <x:v>Consented browser text assistance, patterns and routines</x:v>
      </x:c>
      <x:c r="E9" s="5" t="str">
        <x:v>Specified</x:v>
      </x:c>
      <x:c r="F9" s="13" t="str">
        <x:v>06</x:v>
      </x:c>
      <x:c r="G9" s="5" t="str">
        <x:v>USER; D07</x:v>
      </x:c>
    </x:row>
    <x:row r="10" ht="30" customHeight="1">
      <x:c r="A10" s="5" t="str">
        <x:v>PUB</x:v>
      </x:c>
      <x:c r="B10" s="5" t="str">
        <x:v>Bridges / Universal Publisher</x:v>
      </x:c>
      <x:c r="C10" s="5" t="str">
        <x:v>Core feature</x:v>
      </x:c>
      <x:c r="D10" s="5" t="str">
        <x:v>Canonical publishing, fidelity and replicas</x:v>
      </x:c>
      <x:c r="E10" s="5" t="str">
        <x:v>Specified</x:v>
      </x:c>
      <x:c r="F10" s="13" t="str">
        <x:v>07</x:v>
      </x:c>
      <x:c r="G10" s="5" t="str">
        <x:v>USER; D08</x:v>
      </x:c>
    </x:row>
    <x:row r="11" ht="30" customHeight="1">
      <x:c r="A11" s="5" t="str">
        <x:v>EXT</x:v>
      </x:c>
      <x:c r="B11" s="5" t="str">
        <x:v>Platform connector packages</x:v>
      </x:c>
      <x:c r="C11" s="5" t="str">
        <x:v>Plugin family</x:v>
      </x:c>
      <x:c r="D11" s="5" t="str">
        <x:v>Platform-specific transformations and authorized effects</x:v>
      </x:c>
      <x:c r="E11" s="5" t="str">
        <x:v>Specified; providers unqualified</x:v>
      </x:c>
      <x:c r="F11" s="13" t="str">
        <x:v>08</x:v>
      </x:c>
      <x:c r="G11" s="5" t="str">
        <x:v>USER; D08</x:v>
      </x:c>
    </x:row>
    <x:row r="12" ht="30" customHeight="1">
      <x:c r="A12" s="5" t="str">
        <x:v>UI</x:v>
      </x:c>
      <x:c r="B12" s="5" t="str">
        <x:v>Web/mobile surfaces</x:v>
      </x:c>
      <x:c r="C12" s="5" t="str">
        <x:v>Shared clients</x:v>
      </x:c>
      <x:c r="D12" s="5" t="str">
        <x:v>Local management and supported platform-specific execution</x:v>
      </x:c>
      <x:c r="E12" s="5" t="str">
        <x:v>Existing narrow web + specified</x:v>
      </x:c>
      <x:c r="F12" s="13" t="str">
        <x:v>09</x:v>
      </x:c>
      <x:c r="G12" s="5" t="str">
        <x:v>USER; D11</x:v>
      </x:c>
    </x:row>
    <x:row r="13" ht="30" customHeight="1">
      <x:c r="A13" s="5" t="str">
        <x:v>DOC</x:v>
      </x:c>
      <x:c r="B13" s="5" t="str">
        <x:v>Glossary and registry</x:v>
      </x:c>
      <x:c r="C13" s="5" t="str">
        <x:v>Documentation</x:v>
      </x:c>
      <x:c r="D13" s="5" t="str">
        <x:v>Versioned vocabulary, inventory and change control</x:v>
      </x:c>
      <x:c r="E13" s="5" t="str">
        <x:v>Authored</x:v>
      </x:c>
      <x:c r="F13" s="13" t="str">
        <x:v>12</x:v>
      </x:c>
      <x:c r="G13" s="5" t="str">
        <x:v>USER; D00/D12/W</x:v>
      </x:c>
    </x:row>
  </x:sheetData>
  <x:pageMargins left="0.7" right="0.7" top="0.75" bottom="0.75" header="0.3" footer="0.3"/>
  <x:tableParts count="1">
    <x:tablePart xmlns:r="http://schemas.openxmlformats.org/officeDocument/2006/relationships" r:id="R11e114da658a461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.670000076293945" hidden="0" customWidth="1"/>
    <x:col min="2" max="2" width="7.78000020980835" hidden="0" customWidth="1"/>
    <x:col min="3" max="3" width="23.889999389648438" hidden="0" customWidth="1"/>
    <x:col min="4" max="4" width="48.88999938964844" hidden="0" customWidth="1"/>
    <x:col min="5" max="5" width="16.110000610351562" hidden="0" customWidth="1"/>
    <x:col min="6" max="6" width="7.21999979019165" hidden="0" customWidth="1"/>
    <x:col min="7" max="7" width="7.21999979019165" hidden="0" customWidth="1"/>
    <x:col min="8" max="8" width="44.43999862670898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6" customHeight="1">
      <x:c r="A2" s="2" t="str">
        <x:v>Component inventory</x:v>
      </x:c>
      <x:c r="B2" s="1"/>
      <x:c r="C2" s="1"/>
      <x:c r="D2" s="1"/>
      <x:c r="E2" s="1"/>
      <x:c r="F2" s="1"/>
      <x:c r="G2" s="1"/>
      <x:c r="H2" s="1"/>
    </x:row>
    <x:row r="3">
      <x:c r="A3" s="3" t="str">
        <x:v>Companion 0.1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10" t="str">
        <x:v>ID</x:v>
      </x:c>
      <x:c r="B5" s="11" t="str">
        <x:v>Owner</x:v>
      </x:c>
      <x:c r="C5" s="11" t="str">
        <x:v>Component</x:v>
      </x:c>
      <x:c r="D5" s="11" t="str">
        <x:v>Responsibility</x:v>
      </x:c>
      <x:c r="E5" s="11" t="str">
        <x:v>Status</x:v>
      </x:c>
      <x:c r="F5" s="11" t="str">
        <x:v>Stage</x:v>
      </x:c>
      <x:c r="G5" s="11" t="str">
        <x:v>Spec</x:v>
      </x:c>
      <x:c r="H5" s="12" t="str">
        <x:v>Source</x:v>
      </x:c>
    </x:row>
    <x:row r="6" ht="30" customHeight="1">
      <x:c r="A6" s="5" t="str">
        <x:v>PS-C01</x:v>
      </x:c>
      <x:c r="B6" s="5" t="str">
        <x:v>PS</x:v>
      </x:c>
      <x:c r="C6" s="5" t="str">
        <x:v>Installation coordinator</x:v>
      </x:c>
      <x:c r="D6" s="5" t="str">
        <x:v>Validate/install/update/disable/remove and reconcile local packages</x:v>
      </x:c>
      <x:c r="E6" s="5" t="str">
        <x:v>specified</x:v>
      </x:c>
      <x:c r="F6" s="5" t="str">
        <x:v>C1</x:v>
      </x:c>
      <x:c r="G6" s="13" t="str">
        <x:v>01</x:v>
      </x:c>
      <x:c r="H6" s="5" t="str">
        <x:v>USER; DEC-01/02</x:v>
      </x:c>
    </x:row>
    <x:row r="7" ht="30" customHeight="1">
      <x:c r="A7" s="5" t="str">
        <x:v>PS-C02</x:v>
      </x:c>
      <x:c r="B7" s="5" t="str">
        <x:v>PS</x:v>
      </x:c>
      <x:c r="C7" s="5" t="str">
        <x:v>Operation directory</x:v>
      </x:c>
      <x:c r="D7" s="5" t="str">
        <x:v>Exact provider/version declarations and effective availability</x:v>
      </x:c>
      <x:c r="E7" s="5" t="str">
        <x:v>specified</x:v>
      </x:c>
      <x:c r="F7" s="5" t="str">
        <x:v>C1</x:v>
      </x:c>
      <x:c r="G7" s="13" t="str">
        <x:v>01</x:v>
      </x:c>
      <x:c r="H7" s="5" t="str">
        <x:v>USER; DEC-01/02</x:v>
      </x:c>
    </x:row>
    <x:row r="8" ht="30" customHeight="1">
      <x:c r="A8" s="5" t="str">
        <x:v>PS-C03</x:v>
      </x:c>
      <x:c r="B8" s="5" t="str">
        <x:v>PS</x:v>
      </x:c>
      <x:c r="C8" s="5" t="str">
        <x:v>Grant broker</x:v>
      </x:c>
      <x:c r="D8" s="5" t="str">
        <x:v>Local revision/site/operation authority and revocation</x:v>
      </x:c>
      <x:c r="E8" s="5" t="str">
        <x:v>specified</x:v>
      </x:c>
      <x:c r="F8" s="5" t="str">
        <x:v>C1</x:v>
      </x:c>
      <x:c r="G8" s="13" t="str">
        <x:v>01</x:v>
      </x:c>
      <x:c r="H8" s="5" t="str">
        <x:v>USER; DEC-01/02</x:v>
      </x:c>
    </x:row>
    <x:row r="9" ht="30" customHeight="1">
      <x:c r="A9" s="5" t="str">
        <x:v>PS-C04</x:v>
      </x:c>
      <x:c r="B9" s="5" t="str">
        <x:v>PS</x:v>
      </x:c>
      <x:c r="C9" s="5" t="str">
        <x:v>Invocation coordinator</x:v>
      </x:c>
      <x:c r="D9" s="5" t="str">
        <x:v>Bounded correlated calls and truthful effect outcomes</x:v>
      </x:c>
      <x:c r="E9" s="5" t="str">
        <x:v>specified</x:v>
      </x:c>
      <x:c r="F9" s="5" t="str">
        <x:v>C1</x:v>
      </x:c>
      <x:c r="G9" s="13" t="str">
        <x:v>01</x:v>
      </x:c>
      <x:c r="H9" s="5" t="str">
        <x:v>USER; DEC-01/02</x:v>
      </x:c>
    </x:row>
    <x:row r="10" ht="30" customHeight="1">
      <x:c r="A10" s="5" t="str">
        <x:v>PS-C05</x:v>
      </x:c>
      <x:c r="B10" s="5" t="str">
        <x:v>PS</x:v>
      </x:c>
      <x:c r="C10" s="5" t="str">
        <x:v>Local repository boundary</x:v>
      </x:c>
      <x:c r="D10" s="5" t="str">
        <x:v>Namespace transactions, migrations, quota and export</x:v>
      </x:c>
      <x:c r="E10" s="5" t="str">
        <x:v>specified</x:v>
      </x:c>
      <x:c r="F10" s="5" t="str">
        <x:v>C1</x:v>
      </x:c>
      <x:c r="G10" s="13" t="str">
        <x:v>01</x:v>
      </x:c>
      <x:c r="H10" s="5" t="str">
        <x:v>USER; DEC-01/02</x:v>
      </x:c>
    </x:row>
    <x:row r="11" ht="30" customHeight="1">
      <x:c r="A11" s="5" t="str">
        <x:v>PS-C06</x:v>
      </x:c>
      <x:c r="B11" s="5" t="str">
        <x:v>PS</x:v>
      </x:c>
      <x:c r="C11" s="5" t="str">
        <x:v>Receipt/event boundary</x:v>
      </x:c>
      <x:c r="D11" s="5" t="str">
        <x:v>Causal local receipts and versioned notifications</x:v>
      </x:c>
      <x:c r="E11" s="5" t="str">
        <x:v>specified</x:v>
      </x:c>
      <x:c r="F11" s="5" t="str">
        <x:v>C1</x:v>
      </x:c>
      <x:c r="G11" s="13" t="str">
        <x:v>01</x:v>
      </x:c>
      <x:c r="H11" s="5" t="str">
        <x:v>USER; DEC-01/02</x:v>
      </x:c>
    </x:row>
    <x:row r="12" ht="30" customHeight="1">
      <x:c r="A12" s="5" t="str">
        <x:v>PS-C07</x:v>
      </x:c>
      <x:c r="B12" s="5" t="str">
        <x:v>PS</x:v>
      </x:c>
      <x:c r="C12" s="5" t="str">
        <x:v>UI contribution boundary</x:v>
      </x:c>
      <x:c r="D12" s="5" t="str">
        <x:v>Packaged accessible contributions and cleanup</x:v>
      </x:c>
      <x:c r="E12" s="5" t="str">
        <x:v>specified</x:v>
      </x:c>
      <x:c r="F12" s="5" t="str">
        <x:v>C1</x:v>
      </x:c>
      <x:c r="G12" s="13" t="str">
        <x:v>01</x:v>
      </x:c>
      <x:c r="H12" s="5" t="str">
        <x:v>USER; DEC-01/02</x:v>
      </x:c>
    </x:row>
    <x:row r="13" ht="30" customHeight="1">
      <x:c r="A13" s="5" t="str">
        <x:v>PS-C08</x:v>
      </x:c>
      <x:c r="B13" s="5" t="str">
        <x:v>PS</x:v>
      </x:c>
      <x:c r="C13" s="5" t="str">
        <x:v>Client bridge</x:v>
      </x:c>
      <x:c r="D13" s="5" t="str">
        <x:v>Trusted context and XtraType draft/application interfaces</x:v>
      </x:c>
      <x:c r="E13" s="5" t="str">
        <x:v>specified</x:v>
      </x:c>
      <x:c r="F13" s="5" t="str">
        <x:v>C1</x:v>
      </x:c>
      <x:c r="G13" s="13" t="str">
        <x:v>01</x:v>
      </x:c>
      <x:c r="H13" s="5" t="str">
        <x:v>USER; DEC-01/02</x:v>
      </x:c>
    </x:row>
    <x:row r="14" ht="30" customHeight="1">
      <x:c r="A14" s="5" t="str">
        <x:v>SS-C037</x:v>
      </x:c>
      <x:c r="B14" s="5" t="str">
        <x:v>SS</x:v>
      </x:c>
      <x:c r="C14" s="5" t="str">
        <x:v>Editor</x:v>
      </x:c>
      <x:c r="D14" s="5" t="str">
        <x:v>JavaScript editor with syntax checking and minimal completion.</x:v>
      </x:c>
      <x:c r="E14" s="5" t="str">
        <x:v>specified</x:v>
      </x:c>
      <x:c r="F14" s="5" t="str">
        <x:v>C2</x:v>
      </x:c>
      <x:c r="G14" s="13" t="str">
        <x:v>05</x:v>
      </x:c>
      <x:c r="H14" s="5" t="str">
        <x:v>LEGACY-C037; W Components!A38:E38; D05 T015R02</x:v>
      </x:c>
    </x:row>
    <x:row r="15" ht="30" customHeight="1">
      <x:c r="A15" s="5" t="str">
        <x:v>SS-C038</x:v>
      </x:c>
      <x:c r="B15" s="5" t="str">
        <x:v>SS</x:v>
      </x:c>
      <x:c r="C15" s="5" t="str">
        <x:v>Runner</x:v>
      </x:c>
      <x:c r="D15" s="5" t="str">
        <x:v>Execute against current page or typed test fixture.</x:v>
      </x:c>
      <x:c r="E15" s="5" t="str">
        <x:v>specified</x:v>
      </x:c>
      <x:c r="F15" s="5" t="str">
        <x:v>C2</x:v>
      </x:c>
      <x:c r="G15" s="13" t="str">
        <x:v>05</x:v>
      </x:c>
      <x:c r="H15" s="5" t="str">
        <x:v>LEGACY-C038; W Components!A39:E39; D05 T015R03</x:v>
      </x:c>
    </x:row>
    <x:row r="16" ht="42" customHeight="1">
      <x:c r="A16" s="5" t="str">
        <x:v>SS-C039</x:v>
      </x:c>
      <x:c r="B16" s="5" t="str">
        <x:v>SS</x:v>
      </x:c>
      <x:c r="C16" s="5" t="str">
        <x:v>Manifest Editor</x:v>
      </x:c>
      <x:c r="D16" s="5" t="str">
        <x:v>Inputs, outputs, permissions, triggers, URL matches, capability names.</x:v>
      </x:c>
      <x:c r="E16" s="5" t="str">
        <x:v>specified</x:v>
      </x:c>
      <x:c r="F16" s="5" t="str">
        <x:v>C2</x:v>
      </x:c>
      <x:c r="G16" s="13" t="str">
        <x:v>05</x:v>
      </x:c>
      <x:c r="H16" s="5" t="str">
        <x:v>LEGACY-C039; W Components!A40:E40; D05 T015R04</x:v>
      </x:c>
    </x:row>
    <x:row r="17" ht="42" customHeight="1">
      <x:c r="A17" s="5" t="str">
        <x:v>SS-C040</x:v>
      </x:c>
      <x:c r="B17" s="5" t="str">
        <x:v>SS</x:v>
      </x:c>
      <x:c r="C17" s="5" t="str">
        <x:v>Sandbox/Bridge</x:v>
      </x:c>
      <x:c r="D17" s="5" t="str">
        <x:v>Controlled, separately granted host APIs; initial userscripts have no privileged bridge</x:v>
      </x:c>
      <x:c r="E17" s="5" t="str">
        <x:v>specified</x:v>
      </x:c>
      <x:c r="F17" s="5" t="str">
        <x:v>C4</x:v>
      </x:c>
      <x:c r="G17" s="13" t="str">
        <x:v>05</x:v>
      </x:c>
      <x:c r="H17" s="5" t="str">
        <x:v>LEGACY-C040; W Components!A41:E41; D05 T015R05</x:v>
      </x:c>
    </x:row>
    <x:row r="18" ht="30" customHeight="1">
      <x:c r="A18" s="5" t="str">
        <x:v>SS-C041</x:v>
      </x:c>
      <x:c r="B18" s="5" t="str">
        <x:v>SS</x:v>
      </x:c>
      <x:c r="C18" s="5" t="str">
        <x:v>Local Library</x:v>
      </x:c>
      <x:c r="D18" s="5" t="str">
        <x:v>Private scripts and versions.</x:v>
      </x:c>
      <x:c r="E18" s="5" t="str">
        <x:v>specified</x:v>
      </x:c>
      <x:c r="F18" s="5" t="str">
        <x:v>C2</x:v>
      </x:c>
      <x:c r="G18" s="13" t="str">
        <x:v>05</x:v>
      </x:c>
      <x:c r="H18" s="5" t="str">
        <x:v>LEGACY-C041; W Components!A42:E42; D05 T015R06</x:v>
      </x:c>
    </x:row>
    <x:row r="19" ht="42" customHeight="1">
      <x:c r="A19" s="5" t="str">
        <x:v>SS-C042</x:v>
      </x:c>
      <x:c r="B19" s="5" t="str">
        <x:v>SS</x:v>
      </x:c>
      <x:c r="C19" s="5" t="str">
        <x:v>Package Import/Export</x:v>
      </x:c>
      <x:c r="D19" s="5" t="str">
        <x:v>Portable JSON/shared contract bundle with code, manifest, tests, metadata.</x:v>
      </x:c>
      <x:c r="E19" s="5" t="str">
        <x:v>specified</x:v>
      </x:c>
      <x:c r="F19" s="5" t="str">
        <x:v>C2</x:v>
      </x:c>
      <x:c r="G19" s="13" t="str">
        <x:v>05</x:v>
      </x:c>
      <x:c r="H19" s="5" t="str">
        <x:v>LEGACY-C042; W Components!A43:E43; D05 T015R07</x:v>
      </x:c>
    </x:row>
    <x:row r="20" ht="30" customHeight="1">
      <x:c r="A20" s="5" t="str">
        <x:v>SS-C043</x:v>
      </x:c>
      <x:c r="B20" s="5" t="str">
        <x:v>SS</x:v>
      </x:c>
      <x:c r="C20" s="5" t="str">
        <x:v>Trigger Manager</x:v>
      </x:c>
      <x:c r="D20" s="5" t="str">
        <x:v>Manual, URL-match, event, or workflow-node invocation.</x:v>
      </x:c>
      <x:c r="E20" s="5" t="str">
        <x:v>specified</x:v>
      </x:c>
      <x:c r="F20" s="5" t="str">
        <x:v>C2</x:v>
      </x:c>
      <x:c r="G20" s="13" t="str">
        <x:v>05</x:v>
      </x:c>
      <x:c r="H20" s="5" t="str">
        <x:v>LEGACY-C043; W Components!A44:E44; D05 T015R08</x:v>
      </x:c>
    </x:row>
    <x:row r="21" ht="42" customHeight="1">
      <x:c r="A21" s="5" t="str">
        <x:v>SS-C044</x:v>
      </x:c>
      <x:c r="B21" s="5" t="str">
        <x:v>SS</x:v>
      </x:c>
      <x:c r="C21" s="5" t="str">
        <x:v>Test Harness</x:v>
      </x:c>
      <x:c r="D21" s="5" t="str">
        <x:v>Fixture inputs, mocked capabilities, expected output/side-effect assertions.</x:v>
      </x:c>
      <x:c r="E21" s="5" t="str">
        <x:v>specified</x:v>
      </x:c>
      <x:c r="F21" s="5" t="str">
        <x:v>C4</x:v>
      </x:c>
      <x:c r="G21" s="13" t="str">
        <x:v>05</x:v>
      </x:c>
      <x:c r="H21" s="5" t="str">
        <x:v>LEGACY-C044; W Components!A45:E45; D05 T015R09</x:v>
      </x:c>
    </x:row>
    <x:row r="22" ht="42" customHeight="1">
      <x:c r="A22" s="5" t="str">
        <x:v>SS-C045</x:v>
      </x:c>
      <x:c r="B22" s="5" t="str">
        <x:v>SS</x:v>
      </x:c>
      <x:c r="C22" s="5" t="str">
        <x:v>Promotion Workflow</x:v>
      </x:c>
      <x:c r="D22" s="5" t="str">
        <x:v>Scratch → personal script → micro-extension → plugin/workflow component.</x:v>
      </x:c>
      <x:c r="E22" s="5" t="str">
        <x:v>specified</x:v>
      </x:c>
      <x:c r="F22" s="5" t="str">
        <x:v>C4</x:v>
      </x:c>
      <x:c r="G22" s="13" t="str">
        <x:v>05</x:v>
      </x:c>
      <x:c r="H22" s="5" t="str">
        <x:v>LEGACY-C045; W Components!A46:E46; D05 T015R10</x:v>
      </x:c>
    </x:row>
    <x:row r="23" ht="42" customHeight="1">
      <x:c r="A23" s="5" t="str">
        <x:v>SS-C046</x:v>
      </x:c>
      <x:c r="B23" s="5" t="str">
        <x:v>SS</x:v>
      </x:c>
      <x:c r="C23" s="5" t="str">
        <x:v>Diagnostics</x:v>
      </x:c>
      <x:c r="D23" s="5" t="str">
        <x:v>Console output, permission violations, execution timing, provenance link.</x:v>
      </x:c>
      <x:c r="E23" s="5" t="str">
        <x:v>specified</x:v>
      </x:c>
      <x:c r="F23" s="5" t="str">
        <x:v>C2</x:v>
      </x:c>
      <x:c r="G23" s="13" t="str">
        <x:v>05</x:v>
      </x:c>
      <x:c r="H23" s="5" t="str">
        <x:v>LEGACY-C046; W Components!A47:E47; D05 T015R11</x:v>
      </x:c>
    </x:row>
    <x:row r="24" ht="30" customHeight="1">
      <x:c r="A24" s="5" t="str">
        <x:v>XT-C047</x:v>
      </x:c>
      <x:c r="B24" s="5" t="str">
        <x:v>XT</x:v>
      </x:c>
      <x:c r="C24" s="5" t="str">
        <x:v>Target Resolver</x:v>
      </x:c>
      <x:c r="D24" s="5" t="str">
        <x:v>Resolves one or more Handles to a current target.</x:v>
      </x:c>
      <x:c r="E24" s="5" t="str">
        <x:v>existing-narrow</x:v>
      </x:c>
      <x:c r="F24" s="5" t="str">
        <x:v>C3</x:v>
      </x:c>
      <x:c r="G24" s="13" t="str">
        <x:v>04</x:v>
      </x:c>
      <x:c r="H24" s="5" t="str">
        <x:v>LEGACY-C047; W Components!A48:E48; D06 T015R02</x:v>
      </x:c>
    </x:row>
    <x:row r="25" ht="42" customHeight="1">
      <x:c r="A25" s="5" t="str">
        <x:v>XT-C048</x:v>
      </x:c>
      <x:c r="B25" s="5" t="str">
        <x:v>XT</x:v>
      </x:c>
      <x:c r="C25" s="5" t="str">
        <x:v>Anchor Bundle</x:v>
      </x:c>
      <x:c r="D25" s="5" t="str">
        <x:v>Canonical URL, selected text, nearby text, DOM/path hints, attributes/fingerprints as available.</x:v>
      </x:c>
      <x:c r="E25" s="5" t="str">
        <x:v>specified</x:v>
      </x:c>
      <x:c r="F25" s="5" t="str">
        <x:v>C3</x:v>
      </x:c>
      <x:c r="G25" s="13" t="str">
        <x:v>04</x:v>
      </x:c>
      <x:c r="H25" s="5" t="str">
        <x:v>LEGACY-C048; W Components!A49:E49; D06 T015R03</x:v>
      </x:c>
    </x:row>
    <x:row r="26" ht="42" customHeight="1">
      <x:c r="A26" s="5" t="str">
        <x:v>XT-C049</x:v>
      </x:c>
      <x:c r="B26" s="5" t="str">
        <x:v>XT</x:v>
      </x:c>
      <x:c r="C26" s="5" t="str">
        <x:v>Annotation Object</x:v>
      </x:c>
      <x:c r="D26" s="5" t="str">
        <x:v>Body, author, target handles, tags, visibility, timestamps, provenance.</x:v>
      </x:c>
      <x:c r="E26" s="5" t="str">
        <x:v>existing-narrow</x:v>
      </x:c>
      <x:c r="F26" s="5" t="str">
        <x:v>C3</x:v>
      </x:c>
      <x:c r="G26" s="13" t="str">
        <x:v>04</x:v>
      </x:c>
      <x:c r="H26" s="5" t="str">
        <x:v>LEGACY-C049; W Components!A50:E50; D06 T015R04</x:v>
      </x:c>
    </x:row>
    <x:row r="27" ht="42" customHeight="1">
      <x:c r="A27" s="5" t="str">
        <x:v>XT-C050</x:v>
      </x:c>
      <x:c r="B27" s="5" t="str">
        <x:v>XT</x:v>
      </x:c>
      <x:c r="C27" s="5" t="str">
        <x:v>Context Relationship</x:v>
      </x:c>
      <x:c r="D27" s="5" t="str">
        <x:v>Related-to, corrects, warns-about, alternative-to, references, supersedes.</x:v>
      </x:c>
      <x:c r="E27" s="5" t="str">
        <x:v>specified</x:v>
      </x:c>
      <x:c r="F27" s="5" t="str">
        <x:v>C3</x:v>
      </x:c>
      <x:c r="G27" s="13" t="str">
        <x:v>04</x:v>
      </x:c>
      <x:c r="H27" s="5" t="str">
        <x:v>LEGACY-C050; W Components!A51:E51; D06 T015R05</x:v>
      </x:c>
    </x:row>
    <x:row r="28" ht="30" customHeight="1">
      <x:c r="A28" s="5" t="str">
        <x:v>XT-C051</x:v>
      </x:c>
      <x:c r="B28" s="5" t="str">
        <x:v>XT</x:v>
      </x:c>
      <x:c r="C28" s="5" t="str">
        <x:v>Overlay Renderer</x:v>
      </x:c>
      <x:c r="D28" s="5" t="str">
        <x:v>Shows contextual markers/threads in the browser host/page UI.</x:v>
      </x:c>
      <x:c r="E28" s="5" t="str">
        <x:v>existing-narrow</x:v>
      </x:c>
      <x:c r="F28" s="5" t="str">
        <x:v>C3</x:v>
      </x:c>
      <x:c r="G28" s="13" t="str">
        <x:v>04</x:v>
      </x:c>
      <x:c r="H28" s="5" t="str">
        <x:v>LEGACY-C051; W Components!A52:E52; D06 T015R06</x:v>
      </x:c>
    </x:row>
    <x:row r="29" ht="30" customHeight="1">
      <x:c r="A29" s="5" t="str">
        <x:v>XT-C052</x:v>
      </x:c>
      <x:c r="B29" s="5" t="str">
        <x:v>XT</x:v>
      </x:c>
      <x:c r="C29" s="5" t="str">
        <x:v>Capture UI</x:v>
      </x:c>
      <x:c r="D29" s="5" t="str">
        <x:v>Create annotation from URL, selection, object, place/time later.</x:v>
      </x:c>
      <x:c r="E29" s="5" t="str">
        <x:v>existing-narrow</x:v>
      </x:c>
      <x:c r="F29" s="5" t="str">
        <x:v>C3</x:v>
      </x:c>
      <x:c r="G29" s="13" t="str">
        <x:v>04</x:v>
      </x:c>
      <x:c r="H29" s="5" t="str">
        <x:v>LEGACY-C052; W Components!A53:E53; D06 T015R07</x:v>
      </x:c>
    </x:row>
    <x:row r="30" ht="42" customHeight="1">
      <x:c r="A30" s="5" t="str">
        <x:v>XT-C053</x:v>
      </x:c>
      <x:c r="B30" s="5" t="str">
        <x:v>XT</x:v>
      </x:c>
      <x:c r="C30" s="5" t="str">
        <x:v>Visibility/Sharing</x:v>
      </x:c>
      <x:c r="D30" s="5" t="str">
        <x:v>Local visibility intention; shared/group/public enforcement blocked by deferred identity/authorization</x:v>
      </x:c>
      <x:c r="E30" s="5" t="str">
        <x:v>blocked-dependency</x:v>
      </x:c>
      <x:c r="F30" s="5" t="str">
        <x:v>C3</x:v>
      </x:c>
      <x:c r="G30" s="13" t="str">
        <x:v>04</x:v>
      </x:c>
      <x:c r="H30" s="5" t="str">
        <x:v>LEGACY-C053; W Components!A54:E54; D06 T015R08</x:v>
      </x:c>
    </x:row>
    <x:row r="31" ht="42" customHeight="1">
      <x:c r="A31" s="5" t="str">
        <x:v>XT-C054</x:v>
      </x:c>
      <x:c r="B31" s="5" t="str">
        <x:v>XT</x:v>
      </x:c>
      <x:c r="C31" s="5" t="str">
        <x:v>Conversation Layer</x:v>
      </x:c>
      <x:c r="D31" s="5" t="str">
        <x:v>Local target/annotation threads; remote participants and groups blocked by deferred services</x:v>
      </x:c>
      <x:c r="E31" s="5" t="str">
        <x:v>existing-narrow</x:v>
      </x:c>
      <x:c r="F31" s="5" t="str">
        <x:v>C3</x:v>
      </x:c>
      <x:c r="G31" s="13" t="str">
        <x:v>04</x:v>
      </x:c>
      <x:c r="H31" s="5" t="str">
        <x:v>LEGACY-C054; W Components!A55:E55; D06 T015R09</x:v>
      </x:c>
    </x:row>
    <x:row r="32" ht="30" customHeight="1">
      <x:c r="A32" s="5" t="str">
        <x:v>XT-C055</x:v>
      </x:c>
      <x:c r="B32" s="5" t="str">
        <x:v>XT</x:v>
      </x:c>
      <x:c r="C32" s="5" t="str">
        <x:v>Alternative Content</x:v>
      </x:c>
      <x:c r="D32" s="5" t="str">
        <x:v>Replacement/alternate representation linked to target.</x:v>
      </x:c>
      <x:c r="E32" s="5" t="str">
        <x:v>specified</x:v>
      </x:c>
      <x:c r="F32" s="5" t="str">
        <x:v>C3</x:v>
      </x:c>
      <x:c r="G32" s="13" t="str">
        <x:v>04</x:v>
      </x:c>
      <x:c r="H32" s="5" t="str">
        <x:v>LEGACY-C055; W Components!A56:E56; D06 T015R10</x:v>
      </x:c>
    </x:row>
    <x:row r="33" ht="30" customHeight="1">
      <x:c r="A33" s="5" t="str">
        <x:v>XT-C056</x:v>
      </x:c>
      <x:c r="B33" s="5" t="str">
        <x:v>XT</x:v>
      </x:c>
      <x:c r="C33" s="5" t="str">
        <x:v>Feed/Query API</x:v>
      </x:c>
      <x:c r="D33" s="5" t="str">
        <x:v>Retrieve context by handle/object/relation/visibility.</x:v>
      </x:c>
      <x:c r="E33" s="5" t="str">
        <x:v>existing-narrow</x:v>
      </x:c>
      <x:c r="F33" s="5" t="str">
        <x:v>C3</x:v>
      </x:c>
      <x:c r="G33" s="13" t="str">
        <x:v>04</x:v>
      </x:c>
      <x:c r="H33" s="5" t="str">
        <x:v>LEGACY-C056; W Components!A57:E57; D06 T015R11</x:v>
      </x:c>
    </x:row>
    <x:row r="34" ht="42" customHeight="1">
      <x:c r="A34" s="5" t="str">
        <x:v>DRY-C057</x:v>
      </x:c>
      <x:c r="B34" s="5" t="str">
        <x:v>DRY</x:v>
      </x:c>
      <x:c r="C34" s="5" t="str">
        <x:v>Observation Consent</x:v>
      </x:c>
      <x:c r="D34" s="5" t="str">
        <x:v>Per-site/per-surface authorization and clear pause/disable controls.</x:v>
      </x:c>
      <x:c r="E34" s="5" t="str">
        <x:v>specified</x:v>
      </x:c>
      <x:c r="F34" s="5" t="str">
        <x:v>C2</x:v>
      </x:c>
      <x:c r="G34" s="13" t="str">
        <x:v>06</x:v>
      </x:c>
      <x:c r="H34" s="5" t="str">
        <x:v>LEGACY-C057; W Components!A58:E58; D07 T015R02</x:v>
      </x:c>
    </x:row>
    <x:row r="35" ht="42" customHeight="1">
      <x:c r="A35" s="5" t="str">
        <x:v>DRY-C058</x:v>
      </x:c>
      <x:c r="B35" s="5" t="str">
        <x:v>DRY</x:v>
      </x:c>
      <x:c r="C35" s="5" t="str">
        <x:v>Input Observer</x:v>
      </x:c>
      <x:c r="D35" s="5" t="str">
        <x:v>Captures normalized repeated text/input patterns without indiscriminate collection.</x:v>
      </x:c>
      <x:c r="E35" s="5" t="str">
        <x:v>specified</x:v>
      </x:c>
      <x:c r="F35" s="5" t="str">
        <x:v>C2</x:v>
      </x:c>
      <x:c r="G35" s="13" t="str">
        <x:v>06</x:v>
      </x:c>
      <x:c r="H35" s="5" t="str">
        <x:v>LEGACY-C058; W Components!A59:E59; D07 T015R03</x:v>
      </x:c>
    </x:row>
    <x:row r="36" ht="42" customHeight="1">
      <x:c r="A36" s="5" t="str">
        <x:v>DRY-C059</x:v>
      </x:c>
      <x:c r="B36" s="5" t="str">
        <x:v>DRY</x:v>
      </x:c>
      <x:c r="C36" s="5" t="str">
        <x:v>Action Observer</x:v>
      </x:c>
      <x:c r="D36" s="5" t="str">
        <x:v>Captures user-authorized browser events as typed capability invocations.</x:v>
      </x:c>
      <x:c r="E36" s="5" t="str">
        <x:v>specified</x:v>
      </x:c>
      <x:c r="F36" s="5" t="str">
        <x:v>C4</x:v>
      </x:c>
      <x:c r="G36" s="13" t="str">
        <x:v>06</x:v>
      </x:c>
      <x:c r="H36" s="5" t="str">
        <x:v>LEGACY-C059; W Components!A60:E60; D07 T015R04</x:v>
      </x:c>
    </x:row>
    <x:row r="37" ht="30" customHeight="1">
      <x:c r="A37" s="5" t="str">
        <x:v>DRY-C060</x:v>
      </x:c>
      <x:c r="B37" s="5" t="str">
        <x:v>DRY</x:v>
      </x:c>
      <x:c r="C37" s="5" t="str">
        <x:v>Pattern Detector</x:v>
      </x:c>
      <x:c r="D37" s="5" t="str">
        <x:v>Clusters repeated sequences and estimates stable/variable portions.</x:v>
      </x:c>
      <x:c r="E37" s="5" t="str">
        <x:v>specified</x:v>
      </x:c>
      <x:c r="F37" s="5" t="str">
        <x:v>C2</x:v>
      </x:c>
      <x:c r="G37" s="13" t="str">
        <x:v>06</x:v>
      </x:c>
      <x:c r="H37" s="5" t="str">
        <x:v>LEGACY-C060; W Components!A61:E61; D07 T015R05</x:v>
      </x:c>
    </x:row>
    <x:row r="38" ht="30" customHeight="1">
      <x:c r="A38" s="5" t="str">
        <x:v>DRY-C061</x:v>
      </x:c>
      <x:c r="B38" s="5" t="str">
        <x:v>DRY</x:v>
      </x:c>
      <x:c r="C38" s="5" t="str">
        <x:v>Template Extractor</x:v>
      </x:c>
      <x:c r="D38" s="5" t="str">
        <x:v>Converts repeated text into static or parameterized templates.</x:v>
      </x:c>
      <x:c r="E38" s="5" t="str">
        <x:v>specified</x:v>
      </x:c>
      <x:c r="F38" s="5" t="str">
        <x:v>C2</x:v>
      </x:c>
      <x:c r="G38" s="13" t="str">
        <x:v>06</x:v>
      </x:c>
      <x:c r="H38" s="5" t="str">
        <x:v>LEGACY-C061; W Components!A62:E62; D07 T015R06</x:v>
      </x:c>
    </x:row>
    <x:row r="39" ht="30" customHeight="1">
      <x:c r="A39" s="5" t="str">
        <x:v>DRY-C062</x:v>
      </x:c>
      <x:c r="B39" s="5" t="str">
        <x:v>DRY</x:v>
      </x:c>
      <x:c r="C39" s="5" t="str">
        <x:v>Routine Extractor</x:v>
      </x:c>
      <x:c r="D39" s="5" t="str">
        <x:v>Converts repeated action sequences into workflow candidates.</x:v>
      </x:c>
      <x:c r="E39" s="5" t="str">
        <x:v>specified</x:v>
      </x:c>
      <x:c r="F39" s="5" t="str">
        <x:v>C4</x:v>
      </x:c>
      <x:c r="G39" s="13" t="str">
        <x:v>06</x:v>
      </x:c>
      <x:c r="H39" s="5" t="str">
        <x:v>LEGACY-C062; W Components!A63:E63; D07 T015R07</x:v>
      </x:c>
    </x:row>
    <x:row r="40" ht="42" customHeight="1">
      <x:c r="A40" s="5" t="str">
        <x:v>DRY-C063</x:v>
      </x:c>
      <x:c r="B40" s="5" t="str">
        <x:v>DRY</x:v>
      </x:c>
      <x:c r="C40" s="5" t="str">
        <x:v>Procedure Extractor</x:v>
      </x:c>
      <x:c r="D40" s="5" t="str">
        <x:v>Adds inputs, outputs, state, conditions, checkpoints, and stop criteria.</x:v>
      </x:c>
      <x:c r="E40" s="5" t="str">
        <x:v>specified</x:v>
      </x:c>
      <x:c r="F40" s="5" t="str">
        <x:v>C4</x:v>
      </x:c>
      <x:c r="G40" s="13" t="str">
        <x:v>06</x:v>
      </x:c>
      <x:c r="H40" s="5" t="str">
        <x:v>LEGACY-C063; W Components!A64:E64; D07 T015R08</x:v>
      </x:c>
    </x:row>
    <x:row r="41" ht="30" customHeight="1">
      <x:c r="A41" s="5" t="str">
        <x:v>DRY-C064</x:v>
      </x:c>
      <x:c r="B41" s="5" t="str">
        <x:v>DRY</x:v>
      </x:c>
      <x:c r="C41" s="5" t="str">
        <x:v>Suggestion UI</x:v>
      </x:c>
      <x:c r="D41" s="5" t="str">
        <x:v>Explains observed pattern and asks user to save/parameterize/edit.</x:v>
      </x:c>
      <x:c r="E41" s="5" t="str">
        <x:v>specified</x:v>
      </x:c>
      <x:c r="F41" s="5" t="str">
        <x:v>C2</x:v>
      </x:c>
      <x:c r="G41" s="13" t="str">
        <x:v>06</x:v>
      </x:c>
      <x:c r="H41" s="5" t="str">
        <x:v>LEGACY-C064; W Components!A65:E65; D07 T015R09</x:v>
      </x:c>
    </x:row>
    <x:row r="42" ht="42" customHeight="1">
      <x:c r="A42" s="5" t="str">
        <x:v>DRY-C065</x:v>
      </x:c>
      <x:c r="B42" s="5" t="str">
        <x:v>DRY</x:v>
      </x:c>
      <x:c r="C42" s="5" t="str">
        <x:v>Variable/Default Manager</x:v>
      </x:c>
      <x:c r="D42" s="5" t="str">
        <x:v>Fields, defaults, selections, dynamic values, prior-output bindings.</x:v>
      </x:c>
      <x:c r="E42" s="5" t="str">
        <x:v>specified</x:v>
      </x:c>
      <x:c r="F42" s="5" t="str">
        <x:v>C2</x:v>
      </x:c>
      <x:c r="G42" s="13" t="str">
        <x:v>06</x:v>
      </x:c>
      <x:c r="H42" s="5" t="str">
        <x:v>LEGACY-C065; W Components!A66:E66; D07 T015R10</x:v>
      </x:c>
    </x:row>
    <x:row r="43" ht="42" customHeight="1">
      <x:c r="A43" s="5" t="str">
        <x:v>DRY-C066</x:v>
      </x:c>
      <x:c r="B43" s="5" t="str">
        <x:v>DRY</x:v>
      </x:c>
      <x:c r="C43" s="5" t="str">
        <x:v>Promotion Bridge</x:v>
      </x:c>
      <x:c r="D43" s="5" t="str">
        <x:v>Open reviewed routine/template in Script Studio or local routine inspector without activating it</x:v>
      </x:c>
      <x:c r="E43" s="5" t="str">
        <x:v>specified</x:v>
      </x:c>
      <x:c r="F43" s="5" t="str">
        <x:v>C4</x:v>
      </x:c>
      <x:c r="G43" s="13" t="str">
        <x:v>06</x:v>
      </x:c>
      <x:c r="H43" s="5" t="str">
        <x:v>LEGACY-C066; W Components!A67:E67; D07 T015R11</x:v>
      </x:c>
    </x:row>
    <x:row r="44" ht="42" customHeight="1">
      <x:c r="A44" s="5" t="str">
        <x:v>EXT-C067</x:v>
      </x:c>
      <x:c r="B44" s="5" t="str">
        <x:v>EXT</x:v>
      </x:c>
      <x:c r="C44" s="5" t="str">
        <x:v>Connector Descriptor</x:v>
      </x:c>
      <x:c r="D44" s="5" t="str">
        <x:v>Target service/site, versions, supported capability operations, authentication modes.</x:v>
      </x:c>
      <x:c r="E44" s="5" t="str">
        <x:v>specified</x:v>
      </x:c>
      <x:c r="F44" s="5" t="str">
        <x:v>C3</x:v>
      </x:c>
      <x:c r="G44" s="13" t="str">
        <x:v>08</x:v>
      </x:c>
      <x:c r="H44" s="5" t="str">
        <x:v>LEGACY-C067; W Components!A68:E68; D08 T015R02</x:v>
      </x:c>
    </x:row>
    <x:row r="45" ht="30" customHeight="1">
      <x:c r="A45" s="5" t="str">
        <x:v>EXT-C068</x:v>
      </x:c>
      <x:c r="B45" s="5" t="str">
        <x:v>EXT</x:v>
      </x:c>
      <x:c r="C45" s="5" t="str">
        <x:v>Source Adapter</x:v>
      </x:c>
      <x:c r="D45" s="5" t="str">
        <x:v>External representation → canonical shape.</x:v>
      </x:c>
      <x:c r="E45" s="5" t="str">
        <x:v>existing-narrow</x:v>
      </x:c>
      <x:c r="F45" s="5" t="str">
        <x:v>C3</x:v>
      </x:c>
      <x:c r="G45" s="13" t="str">
        <x:v>08</x:v>
      </x:c>
      <x:c r="H45" s="5" t="str">
        <x:v>LEGACY-C068; W Components!A69:E69; D08 T015R03</x:v>
      </x:c>
    </x:row>
    <x:row r="46" ht="30" customHeight="1">
      <x:c r="A46" s="5" t="str">
        <x:v>EXT-C069</x:v>
      </x:c>
      <x:c r="B46" s="5" t="str">
        <x:v>EXT</x:v>
      </x:c>
      <x:c r="C46" s="5" t="str">
        <x:v>Target Adapter</x:v>
      </x:c>
      <x:c r="D46" s="5" t="str">
        <x:v>Canonical shape → external representation.</x:v>
      </x:c>
      <x:c r="E46" s="5" t="str">
        <x:v>existing-narrow</x:v>
      </x:c>
      <x:c r="F46" s="5" t="str">
        <x:v>C3</x:v>
      </x:c>
      <x:c r="G46" s="13" t="str">
        <x:v>08</x:v>
      </x:c>
      <x:c r="H46" s="5" t="str">
        <x:v>LEGACY-C069; W Components!A70:E70; D08 T015R04</x:v>
      </x:c>
    </x:row>
    <x:row r="47" ht="42" customHeight="1">
      <x:c r="A47" s="5" t="str">
        <x:v>PUB-C070</x:v>
      </x:c>
      <x:c r="B47" s="5" t="str">
        <x:v>PUB</x:v>
      </x:c>
      <x:c r="C47" s="5" t="str">
        <x:v>Canonical Shape Library</x:v>
      </x:c>
      <x:c r="D47" s="5" t="str">
        <x:v>Publication, ForumPost, SocialPost, Listing, media/link abstractions.</x:v>
      </x:c>
      <x:c r="E47" s="5" t="str">
        <x:v>specified</x:v>
      </x:c>
      <x:c r="F47" s="5" t="str">
        <x:v>C3</x:v>
      </x:c>
      <x:c r="G47" s="13" t="str">
        <x:v>07</x:v>
      </x:c>
      <x:c r="H47" s="5" t="str">
        <x:v>LEGACY-C070; W Components!A71:E71; D08 T015R05</x:v>
      </x:c>
    </x:row>
    <x:row r="48" ht="30" customHeight="1">
      <x:c r="A48" s="5" t="str">
        <x:v>PUB-C071</x:v>
      </x:c>
      <x:c r="B48" s="5" t="str">
        <x:v>PUB</x:v>
      </x:c>
      <x:c r="C48" s="5" t="str">
        <x:v>Field Mapping</x:v>
      </x:c>
      <x:c r="D48" s="5" t="str">
        <x:v>Correspondence/defaults/normalization rules.</x:v>
      </x:c>
      <x:c r="E48" s="5" t="str">
        <x:v>specified</x:v>
      </x:c>
      <x:c r="F48" s="5" t="str">
        <x:v>C3</x:v>
      </x:c>
      <x:c r="G48" s="13" t="str">
        <x:v>07</x:v>
      </x:c>
      <x:c r="H48" s="5" t="str">
        <x:v>LEGACY-C071; W Components!A72:E72; D08 T015R06</x:v>
      </x:c>
    </x:row>
    <x:row r="49" ht="30" customHeight="1">
      <x:c r="A49" s="5" t="str">
        <x:v>PUB-C072</x:v>
      </x:c>
      <x:c r="B49" s="5" t="str">
        <x:v>PUB</x:v>
      </x:c>
      <x:c r="C49" s="5" t="str">
        <x:v>Fidelity Report</x:v>
      </x:c>
      <x:c r="D49" s="5" t="str">
        <x:v>Preserves/approximates/drops/needs-user-input.</x:v>
      </x:c>
      <x:c r="E49" s="5" t="str">
        <x:v>specified</x:v>
      </x:c>
      <x:c r="F49" s="5" t="str">
        <x:v>C3</x:v>
      </x:c>
      <x:c r="G49" s="13" t="str">
        <x:v>07</x:v>
      </x:c>
      <x:c r="H49" s="5" t="str">
        <x:v>LEGACY-C072; W Components!A73:E73; D08 T015R07</x:v>
      </x:c>
    </x:row>
    <x:row r="50" ht="42" customHeight="1">
      <x:c r="A50" s="5" t="str">
        <x:v>PUB-C073</x:v>
      </x:c>
      <x:c r="B50" s="5" t="str">
        <x:v>PUB</x:v>
      </x:c>
      <x:c r="C50" s="5" t="str">
        <x:v>Account Binding</x:v>
      </x:c>
      <x:c r="D50" s="5" t="str">
        <x:v>Destination configuration referencing a Credential Reference and defaults.</x:v>
      </x:c>
      <x:c r="E50" s="5" t="str">
        <x:v>specified</x:v>
      </x:c>
      <x:c r="F50" s="5" t="str">
        <x:v>C3</x:v>
      </x:c>
      <x:c r="G50" s="13" t="str">
        <x:v>07</x:v>
      </x:c>
      <x:c r="H50" s="5" t="str">
        <x:v>LEGACY-C073; W Components!A74:E74; D08 T015R08</x:v>
      </x:c>
    </x:row>
    <x:row r="51" ht="30" customHeight="1">
      <x:c r="A51" s="5" t="str">
        <x:v>PUB-C074</x:v>
      </x:c>
      <x:c r="B51" s="5" t="str">
        <x:v>PUB</x:v>
      </x:c>
      <x:c r="C51" s="5" t="str">
        <x:v>Publisher Composer</x:v>
      </x:c>
      <x:c r="D51" s="5" t="str">
        <x:v>One compose surface for conceptual Publication.</x:v>
      </x:c>
      <x:c r="E51" s="5" t="str">
        <x:v>specified</x:v>
      </x:c>
      <x:c r="F51" s="5" t="str">
        <x:v>C3</x:v>
      </x:c>
      <x:c r="G51" s="13" t="str">
        <x:v>07</x:v>
      </x:c>
      <x:c r="H51" s="5" t="str">
        <x:v>LEGACY-C074; W Components!A75:E75; D08 T015R09</x:v>
      </x:c>
    </x:row>
    <x:row r="52" ht="42" customHeight="1">
      <x:c r="A52" s="5" t="str">
        <x:v>PUB-C075</x:v>
      </x:c>
      <x:c r="B52" s="5" t="str">
        <x:v>PUB</x:v>
      </x:c>
      <x:c r="C52" s="5" t="str">
        <x:v>Destination Selector</x:v>
      </x:c>
      <x:c r="D52" s="5" t="str">
        <x:v>Select configured targets/accounts and per-target overrides if needed.</x:v>
      </x:c>
      <x:c r="E52" s="5" t="str">
        <x:v>specified</x:v>
      </x:c>
      <x:c r="F52" s="5" t="str">
        <x:v>C3</x:v>
      </x:c>
      <x:c r="G52" s="13" t="str">
        <x:v>07</x:v>
      </x:c>
      <x:c r="H52" s="5" t="str">
        <x:v>LEGACY-C075; W Components!A76:E76; D08 T015R10</x:v>
      </x:c>
    </x:row>
    <x:row r="53" ht="42" customHeight="1">
      <x:c r="A53" s="5" t="str">
        <x:v>PUB-C076</x:v>
      </x:c>
      <x:c r="B53" s="5" t="str">
        <x:v>PUB</x:v>
      </x:c>
      <x:c r="C53" s="5" t="str">
        <x:v>Preview/Validation</x:v>
      </x:c>
      <x:c r="D53" s="5" t="str">
        <x:v>Target-shaped preview, missing-required-field prompt, fidelity warnings.</x:v>
      </x:c>
      <x:c r="E53" s="5" t="str">
        <x:v>specified</x:v>
      </x:c>
      <x:c r="F53" s="5" t="str">
        <x:v>C3</x:v>
      </x:c>
      <x:c r="G53" s="13" t="str">
        <x:v>07</x:v>
      </x:c>
      <x:c r="H53" s="5" t="str">
        <x:v>LEGACY-C076; W Components!A77:E77; D08 T015R11</x:v>
      </x:c>
    </x:row>
    <x:row r="54" ht="42" customHeight="1">
      <x:c r="A54" s="5" t="str">
        <x:v>PUB-C077</x:v>
      </x:c>
      <x:c r="B54" s="5" t="str">
        <x:v>PUB</x:v>
      </x:c>
      <x:c r="C54" s="5" t="str">
        <x:v>Publish Workflow</x:v>
      </x:c>
      <x:c r="D54" s="5" t="str">
        <x:v>Transform → validate → execute → capture external handle → provenance.</x:v>
      </x:c>
      <x:c r="E54" s="5" t="str">
        <x:v>specified</x:v>
      </x:c>
      <x:c r="F54" s="5" t="str">
        <x:v>C3</x:v>
      </x:c>
      <x:c r="G54" s="13" t="str">
        <x:v>07</x:v>
      </x:c>
      <x:c r="H54" s="5" t="str">
        <x:v>LEGACY-C077; W Components!A78:E78; D08 T015R12</x:v>
      </x:c>
    </x:row>
    <x:row r="55" ht="30" customHeight="1">
      <x:c r="A55" s="5" t="str">
        <x:v>PUB-C078</x:v>
      </x:c>
      <x:c r="B55" s="5" t="str">
        <x:v>PUB</x:v>
      </x:c>
      <x:c r="C55" s="5" t="str">
        <x:v>Replica Set Manager</x:v>
      </x:c>
      <x:c r="D55" s="5" t="str">
        <x:v>Associates returned handles with one conceptual Publication.</x:v>
      </x:c>
      <x:c r="E55" s="5" t="str">
        <x:v>specified</x:v>
      </x:c>
      <x:c r="F55" s="5" t="str">
        <x:v>C3</x:v>
      </x:c>
      <x:c r="G55" s="13" t="str">
        <x:v>07</x:v>
      </x:c>
      <x:c r="H55" s="5" t="str">
        <x:v>LEGACY-C078; W Components!A79:E79; D08 T015R13</x:v>
      </x:c>
    </x:row>
    <x:row r="56" ht="42" customHeight="1">
      <x:c r="A56" s="5" t="str">
        <x:v>UI-C103</x:v>
      </x:c>
      <x:c r="B56" s="5" t="str">
        <x:v>UI</x:v>
      </x:c>
      <x:c r="C56" s="5" t="str">
        <x:v>Web Library</x:v>
      </x:c>
      <x:c r="D56" s="5" t="str">
        <x:v>Objects, annotations, scripts/packages, helpers, procedures, replica sets.</x:v>
      </x:c>
      <x:c r="E56" s="5" t="str">
        <x:v>existing-narrow</x:v>
      </x:c>
      <x:c r="F56" s="5" t="str">
        <x:v>C5</x:v>
      </x:c>
      <x:c r="G56" s="13" t="str">
        <x:v>09</x:v>
      </x:c>
      <x:c r="H56" s="5" t="str">
        <x:v>LEGACY-C103; W Components!A104:E104; D11 T015R02</x:v>
      </x:c>
    </x:row>
    <x:row r="57" ht="30" customHeight="1">
      <x:c r="A57" s="5" t="str">
        <x:v>UI-C104</x:v>
      </x:c>
      <x:c r="B57" s="5" t="str">
        <x:v>UI</x:v>
      </x:c>
      <x:c r="C57" s="5" t="str">
        <x:v>Workflow/Execution View</x:v>
      </x:c>
      <x:c r="D57" s="5" t="str">
        <x:v>Run status, steps, inputs, provenance, pause/resume/cancel.</x:v>
      </x:c>
      <x:c r="E57" s="5" t="str">
        <x:v>specified</x:v>
      </x:c>
      <x:c r="F57" s="5" t="str">
        <x:v>C5</x:v>
      </x:c>
      <x:c r="G57" s="13" t="str">
        <x:v>09</x:v>
      </x:c>
      <x:c r="H57" s="5" t="str">
        <x:v>LEGACY-C104; W Components!A105:E105; D11 T015R03</x:v>
      </x:c>
    </x:row>
    <x:row r="58" ht="30" customHeight="1">
      <x:c r="A58" s="5" t="str">
        <x:v>UI-C105</x:v>
      </x:c>
      <x:c r="B58" s="5" t="str">
        <x:v>UI</x:v>
      </x:c>
      <x:c r="C58" s="5" t="str">
        <x:v>Package Manager</x:v>
      </x:c>
      <x:c r="D58" s="5" t="str">
        <x:v>Import/export/install/update/remove packages.</x:v>
      </x:c>
      <x:c r="E58" s="5" t="str">
        <x:v>specified</x:v>
      </x:c>
      <x:c r="F58" s="5" t="str">
        <x:v>C5</x:v>
      </x:c>
      <x:c r="G58" s="13" t="str">
        <x:v>09</x:v>
      </x:c>
      <x:c r="H58" s="5" t="str">
        <x:v>LEGACY-C105; W Components!A106:E106; D11 T015R04</x:v>
      </x:c>
    </x:row>
    <x:row r="59" ht="42" customHeight="1">
      <x:c r="A59" s="5" t="str">
        <x:v>UI-C106</x:v>
      </x:c>
      <x:c r="B59" s="5" t="str">
        <x:v>UI</x:v>
      </x:c>
      <x:c r="C59" s="5" t="str">
        <x:v>Account/Permission Center</x:v>
      </x:c>
      <x:c r="D59" s="5" t="str">
        <x:v>Local permissions/session status; centralized account/device administration blocked</x:v>
      </x:c>
      <x:c r="E59" s="5" t="str">
        <x:v>specified</x:v>
      </x:c>
      <x:c r="F59" s="5" t="str">
        <x:v>C5</x:v>
      </x:c>
      <x:c r="G59" s="13" t="str">
        <x:v>09</x:v>
      </x:c>
      <x:c r="H59" s="5" t="str">
        <x:v>LEGACY-C106; W Components!A107:E107; D11 T015R05</x:v>
      </x:c>
    </x:row>
    <x:row r="60" ht="30" customHeight="1">
      <x:c r="A60" s="5" t="str">
        <x:v>UI-C107</x:v>
      </x:c>
      <x:c r="B60" s="5" t="str">
        <x:v>UI</x:v>
      </x:c>
      <x:c r="C60" s="5" t="str">
        <x:v>Annotation Feed</x:v>
      </x:c>
      <x:c r="D60" s="5" t="str">
        <x:v>Context feed and object-centered views.</x:v>
      </x:c>
      <x:c r="E60" s="5" t="str">
        <x:v>existing-narrow</x:v>
      </x:c>
      <x:c r="F60" s="5" t="str">
        <x:v>C5</x:v>
      </x:c>
      <x:c r="G60" s="13" t="str">
        <x:v>09</x:v>
      </x:c>
      <x:c r="H60" s="5" t="str">
        <x:v>LEGACY-C107; W Components!A108:E108; D11 T015R06</x:v>
      </x:c>
    </x:row>
    <x:row r="61" ht="42" customHeight="1">
      <x:c r="A61" s="5" t="str">
        <x:v>UI-C108</x:v>
      </x:c>
      <x:c r="B61" s="5" t="str">
        <x:v>UI</x:v>
      </x:c>
      <x:c r="C61" s="5" t="str">
        <x:v>Publisher Web Surface</x:v>
      </x:c>
      <x:c r="D61" s="5" t="str">
        <x:v>Compose canonical Publication and choose configured destinations where supported.</x:v>
      </x:c>
      <x:c r="E61" s="5" t="str">
        <x:v>specified</x:v>
      </x:c>
      <x:c r="F61" s="5" t="str">
        <x:v>C5</x:v>
      </x:c>
      <x:c r="G61" s="13" t="str">
        <x:v>09</x:v>
      </x:c>
      <x:c r="H61" s="5" t="str">
        <x:v>LEGACY-C108; W Components!A109:E109; D11 T015R07</x:v>
      </x:c>
    </x:row>
    <x:row r="62" ht="30" customHeight="1">
      <x:c r="A62" s="5" t="str">
        <x:v>UI-C109</x:v>
      </x:c>
      <x:c r="B62" s="5" t="str">
        <x:v>UI</x:v>
      </x:c>
      <x:c r="C62" s="5" t="str">
        <x:v>Responsive Mobile Web</x:v>
      </x:c>
      <x:c r="D62" s="5" t="str">
        <x:v>Immediate mobile access before native app.</x:v>
      </x:c>
      <x:c r="E62" s="5" t="str">
        <x:v>existing-narrow</x:v>
      </x:c>
      <x:c r="F62" s="5" t="str">
        <x:v>C5</x:v>
      </x:c>
      <x:c r="G62" s="13" t="str">
        <x:v>09</x:v>
      </x:c>
      <x:c r="H62" s="5" t="str">
        <x:v>LEGACY-C109; W Components!A110:E110; D11 T015R08</x:v>
      </x:c>
    </x:row>
    <x:row r="63" ht="42" customHeight="1">
      <x:c r="A63" s="5" t="str">
        <x:v>UI-C110</x:v>
      </x:c>
      <x:c r="B63" s="5" t="str">
        <x:v>UI</x:v>
      </x:c>
      <x:c r="C63" s="5" t="str">
        <x:v>Native Mobile Shell</x:v>
      </x:c>
      <x:c r="D63" s="5" t="str">
        <x:v>Later local share ingestion and explicit location/time capture; sync/remote notifications blocked</x:v>
      </x:c>
      <x:c r="E63" s="5" t="str">
        <x:v>specified</x:v>
      </x:c>
      <x:c r="F63" s="5" t="str">
        <x:v>C5</x:v>
      </x:c>
      <x:c r="G63" s="13" t="str">
        <x:v>09</x:v>
      </x:c>
      <x:c r="H63" s="5" t="str">
        <x:v>LEGACY-C110; W Components!A111:E111; D11 T015R09</x:v>
      </x:c>
    </x:row>
    <x:row r="64" ht="30" customHeight="1">
      <x:c r="A64" s="5" t="str">
        <x:v>DOC-C01</x:v>
      </x:c>
      <x:c r="B64" s="5" t="str">
        <x:v>DOC</x:v>
      </x:c>
      <x:c r="C64" s="5" t="str">
        <x:v>Glossary</x:v>
      </x:c>
      <x:c r="D64" s="5" t="str">
        <x:v>Selected semantic vocabulary and authority</x:v>
      </x:c>
      <x:c r="E64" s="5" t="str">
        <x:v>specified</x:v>
      </x:c>
      <x:c r="F64" s="5" t="str">
        <x:v>C1</x:v>
      </x:c>
      <x:c r="G64" s="13" t="str">
        <x:v>12</x:v>
      </x:c>
      <x:c r="H64" s="5" t="str">
        <x:v>D12; USER</x:v>
      </x:c>
    </x:row>
    <x:row r="65" ht="30" customHeight="1">
      <x:c r="A65" s="5" t="str">
        <x:v>DOC-C02</x:v>
      </x:c>
      <x:c r="B65" s="5" t="str">
        <x:v>DOC</x:v>
      </x:c>
      <x:c r="C65" s="5" t="str">
        <x:v>Relational registry</x:v>
      </x:c>
      <x:c r="D65" s="5" t="str">
        <x:v>Versioned engineering index updated with each change</x:v>
      </x:c>
      <x:c r="E65" s="5" t="str">
        <x:v>specified</x:v>
      </x:c>
      <x:c r="F65" s="5" t="str">
        <x:v>C1</x:v>
      </x:c>
      <x:c r="G65" s="13" t="str">
        <x:v>12</x:v>
      </x:c>
      <x:c r="H65" s="5" t="str">
        <x:v>W; USER</x:v>
      </x:c>
    </x:row>
    <x:row r="66">
      <x:c r="A66"/>
    </x:row>
  </x:sheetData>
  <x:conditionalFormatting sqref="E6:E65">
    <x:cfRule type="containsText" dxfId="0" priority="1" operator="containsText" text="blocked-dependency"/>
    <x:cfRule type="containsText" dxfId="1" priority="2" operator="containsText" text="existing-narrow"/>
  </x:conditionalFormatting>
  <x:pageMargins left="0.7" right="0.7" top="0.75" bottom="0.75" header="0.3" footer="0.3"/>
  <x:tableParts count="1">
    <x:tablePart xmlns:r="http://schemas.openxmlformats.org/officeDocument/2006/relationships" r:id="R05171e34d1ef42a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8000020980835" hidden="0" customWidth="1"/>
    <x:col min="2" max="2" width="27.219999313354492" hidden="0" customWidth="1"/>
    <x:col min="3" max="3" width="7.78000020980835" hidden="0" customWidth="1"/>
    <x:col min="4" max="4" width="45.560001373291016" hidden="0" customWidth="1"/>
    <x:col min="5" max="5" width="20" hidden="0" customWidth="1"/>
    <x:col min="6" max="6" width="7.21999979019165" hidden="0" customWidth="1"/>
    <x:col min="7" max="7" width="7.21999979019165" hidden="0" customWidth="1"/>
    <x:col min="8" max="8" width="21.11000061035156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6" customHeight="1">
      <x:c r="A2" s="2" t="str">
        <x:v>Contracts</x:v>
      </x:c>
      <x:c r="B2" s="1"/>
      <x:c r="C2" s="1"/>
      <x:c r="D2" s="1"/>
      <x:c r="E2" s="1"/>
      <x:c r="F2" s="1"/>
      <x:c r="G2" s="1"/>
      <x:c r="H2" s="1"/>
    </x:row>
    <x:row r="3">
      <x:c r="A3" s="3" t="str">
        <x:v>Companion 0.1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10" t="str">
        <x:v>ID</x:v>
      </x:c>
      <x:c r="B5" s="11" t="str">
        <x:v>Record type</x:v>
      </x:c>
      <x:c r="C5" s="11" t="str">
        <x:v>Owner</x:v>
      </x:c>
      <x:c r="D5" s="11" t="str">
        <x:v>Meaning</x:v>
      </x:c>
      <x:c r="E5" s="11" t="str">
        <x:v>Schema key</x:v>
      </x:c>
      <x:c r="F5" s="11" t="str">
        <x:v>Stage</x:v>
      </x:c>
      <x:c r="G5" s="11" t="str">
        <x:v>Spec</x:v>
      </x:c>
      <x:c r="H5" s="12" t="str">
        <x:v>Source</x:v>
      </x:c>
    </x:row>
    <x:row r="6" ht="30" customHeight="1">
      <x:c r="A6" s="5" t="str">
        <x:v>CT01</x:v>
      </x:c>
      <x:c r="B6" s="5" t="str">
        <x:v>Plugin.Manifest</x:v>
      </x:c>
      <x:c r="C6" s="5" t="str">
        <x:v>PS</x:v>
      </x:c>
      <x:c r="D6" s="5" t="str">
        <x:v>Package identity, operations, permissions and file hashes</x:v>
      </x:c>
      <x:c r="E6" s="5" t="str">
        <x:v>plugin-manifest</x:v>
      </x:c>
      <x:c r="F6" s="5" t="str">
        <x:v>C1</x:v>
      </x:c>
      <x:c r="G6" s="13" t="str">
        <x:v>02</x:v>
      </x:c>
      <x:c r="H6" s="5" t="str">
        <x:v>D05; USER</x:v>
      </x:c>
    </x:row>
    <x:row r="7" ht="30" customHeight="1">
      <x:c r="A7" s="5" t="str">
        <x:v>CT02</x:v>
      </x:c>
      <x:c r="B7" s="5" t="str">
        <x:v>Plugin.Installation</x:v>
      </x:c>
      <x:c r="C7" s="5" t="str">
        <x:v>PS</x:v>
      </x:c>
      <x:c r="D7" s="5" t="str">
        <x:v>Desired/effective local package lifecycle</x:v>
      </x:c>
      <x:c r="E7" s="5" t="str">
        <x:v>installation</x:v>
      </x:c>
      <x:c r="F7" s="5" t="str">
        <x:v>C1</x:v>
      </x:c>
      <x:c r="G7" s="13" t="str">
        <x:v>02</x:v>
      </x:c>
      <x:c r="H7" s="5" t="str">
        <x:v>DEC-03</x:v>
      </x:c>
    </x:row>
    <x:row r="8" ht="30" customHeight="1">
      <x:c r="A8" s="5" t="str">
        <x:v>CT03</x:v>
      </x:c>
      <x:c r="B8" s="5" t="str">
        <x:v>Host.Grant</x:v>
      </x:c>
      <x:c r="C8" s="5" t="str">
        <x:v>PS</x:v>
      </x:c>
      <x:c r="D8" s="5" t="str">
        <x:v>Nonportable local revision/site authority</x:v>
      </x:c>
      <x:c r="E8" s="5" t="str">
        <x:v>grant</x:v>
      </x:c>
      <x:c r="F8" s="5" t="str">
        <x:v>C1</x:v>
      </x:c>
      <x:c r="G8" s="13" t="str">
        <x:v>02</x:v>
      </x:c>
      <x:c r="H8" s="5" t="str">
        <x:v>C16; DEC-04</x:v>
      </x:c>
    </x:row>
    <x:row r="9" ht="30" customHeight="1">
      <x:c r="A9" s="5" t="str">
        <x:v>CT04</x:v>
      </x:c>
      <x:c r="B9" s="5" t="str">
        <x:v>Host.Invocation</x:v>
      </x:c>
      <x:c r="C9" s="5" t="str">
        <x:v>PS</x:v>
      </x:c>
      <x:c r="D9" s="5" t="str">
        <x:v>Pinned bounded operation request</x:v>
      </x:c>
      <x:c r="E9" s="5" t="str">
        <x:v>invocation</x:v>
      </x:c>
      <x:c r="F9" s="5" t="str">
        <x:v>C1</x:v>
      </x:c>
      <x:c r="G9" s="13" t="str">
        <x:v>03</x:v>
      </x:c>
      <x:c r="H9" s="5" t="str">
        <x:v>D05/D08</x:v>
      </x:c>
    </x:row>
    <x:row r="10" ht="30" customHeight="1">
      <x:c r="A10" s="5" t="str">
        <x:v>CT05</x:v>
      </x:c>
      <x:c r="B10" s="5" t="str">
        <x:v>Host.Receipt</x:v>
      </x:c>
      <x:c r="C10" s="5" t="str">
        <x:v>PS</x:v>
      </x:c>
      <x:c r="D10" s="5" t="str">
        <x:v>Truthful effect outcome and evidence</x:v>
      </x:c>
      <x:c r="E10" s="5" t="str">
        <x:v>receipt</x:v>
      </x:c>
      <x:c r="F10" s="5" t="str">
        <x:v>C1</x:v>
      </x:c>
      <x:c r="G10" s="13" t="str">
        <x:v>03</x:v>
      </x:c>
      <x:c r="H10" s="5" t="str">
        <x:v>D05/D08</x:v>
      </x:c>
    </x:row>
    <x:row r="11" ht="30" customHeight="1">
      <x:c r="A11" s="5" t="str">
        <x:v>CT06</x:v>
      </x:c>
      <x:c r="B11" s="5" t="str">
        <x:v>Host.Event</x:v>
      </x:c>
      <x:c r="C11" s="5" t="str">
        <x:v>PS</x:v>
      </x:c>
      <x:c r="D11" s="5" t="str">
        <x:v>Versioned local notification</x:v>
      </x:c>
      <x:c r="E11" s="5" t="str">
        <x:v>event</x:v>
      </x:c>
      <x:c r="F11" s="5" t="str">
        <x:v>C1</x:v>
      </x:c>
      <x:c r="G11" s="13" t="str">
        <x:v>03</x:v>
      </x:c>
      <x:c r="H11" s="5" t="str">
        <x:v>D05/D07</x:v>
      </x:c>
    </x:row>
    <x:row r="12" ht="30" customHeight="1">
      <x:c r="A12" s="5" t="str">
        <x:v>CT07</x:v>
      </x:c>
      <x:c r="B12" s="5" t="str">
        <x:v>Core.Object</x:v>
      </x:c>
      <x:c r="C12" s="5" t="str">
        <x:v>PS</x:v>
      </x:c>
      <x:c r="D12" s="5" t="str">
        <x:v>Conceptual identity and handle references</x:v>
      </x:c>
      <x:c r="E12" s="5" t="str">
        <x:v>object</x:v>
      </x:c>
      <x:c r="F12" s="5" t="str">
        <x:v>C3</x:v>
      </x:c>
      <x:c r="G12" s="13" t="str">
        <x:v>03</x:v>
      </x:c>
      <x:c r="H12" s="5" t="str">
        <x:v>D12</x:v>
      </x:c>
    </x:row>
    <x:row r="13" ht="30" customHeight="1">
      <x:c r="A13" s="5" t="str">
        <x:v>CT08</x:v>
      </x:c>
      <x:c r="B13" s="5" t="str">
        <x:v>Core.Handle</x:v>
      </x:c>
      <x:c r="C13" s="5" t="str">
        <x:v>PS</x:v>
      </x:c>
      <x:c r="D13" s="5" t="str">
        <x:v>Locator with type and evidence</x:v>
      </x:c>
      <x:c r="E13" s="5" t="str">
        <x:v>handle</x:v>
      </x:c>
      <x:c r="F13" s="5" t="str">
        <x:v>C3</x:v>
      </x:c>
      <x:c r="G13" s="13" t="str">
        <x:v>03</x:v>
      </x:c>
      <x:c r="H13" s="5" t="str">
        <x:v>D12</x:v>
      </x:c>
    </x:row>
    <x:row r="14" ht="30" customHeight="1">
      <x:c r="A14" s="5" t="str">
        <x:v>CT09</x:v>
      </x:c>
      <x:c r="B14" s="5" t="str">
        <x:v>Browser.Context</x:v>
      </x:c>
      <x:c r="C14" s="5" t="str">
        <x:v>PS</x:v>
      </x:c>
      <x:c r="D14" s="5" t="str">
        <x:v>Pinned authorized browser context</x:v>
      </x:c>
      <x:c r="E14" s="5" t="str">
        <x:v>browser-context</x:v>
      </x:c>
      <x:c r="F14" s="5" t="str">
        <x:v>C1</x:v>
      </x:c>
      <x:c r="G14" s="13" t="str">
        <x:v>03</x:v>
      </x:c>
      <x:c r="H14" s="5" t="str">
        <x:v>D06; current C08</x:v>
      </x:c>
    </x:row>
    <x:row r="15" ht="30" customHeight="1">
      <x:c r="A15" s="5" t="str">
        <x:v>CT10</x:v>
      </x:c>
      <x:c r="B15" s="5" t="str">
        <x:v>Context.AnchorBundle</x:v>
      </x:c>
      <x:c r="C15" s="5" t="str">
        <x:v>XT</x:v>
      </x:c>
      <x:c r="D15" s="5" t="str">
        <x:v>Passage locator evidence</x:v>
      </x:c>
      <x:c r="E15" s="5" t="str">
        <x:v>anchor-bundle</x:v>
      </x:c>
      <x:c r="F15" s="5" t="str">
        <x:v>C3</x:v>
      </x:c>
      <x:c r="G15" s="13" t="str">
        <x:v>04</x:v>
      </x:c>
      <x:c r="H15" s="5" t="str">
        <x:v>D06 C048</x:v>
      </x:c>
    </x:row>
    <x:row r="16" ht="30" customHeight="1">
      <x:c r="A16" s="5" t="str">
        <x:v>CT11</x:v>
      </x:c>
      <x:c r="B16" s="5" t="str">
        <x:v>Context.AnnotationExtension</x:v>
      </x:c>
      <x:c r="C16" s="5" t="str">
        <x:v>XT</x:v>
      </x:c>
      <x:c r="D16" s="5" t="str">
        <x:v>Sidecar for unchanged v2 annotation</x:v>
      </x:c>
      <x:c r="E16" s="5" t="str">
        <x:v>annotation-extension</x:v>
      </x:c>
      <x:c r="F16" s="5" t="str">
        <x:v>C3</x:v>
      </x:c>
      <x:c r="G16" s="13" t="str">
        <x:v>04</x:v>
      </x:c>
      <x:c r="H16" s="5" t="str">
        <x:v>DEC-05; D06</x:v>
      </x:c>
    </x:row>
    <x:row r="17" ht="30" customHeight="1">
      <x:c r="A17" s="5" t="str">
        <x:v>CT12</x:v>
      </x:c>
      <x:c r="B17" s="5" t="str">
        <x:v>Context.Relationship</x:v>
      </x:c>
      <x:c r="C17" s="5" t="str">
        <x:v>XT</x:v>
      </x:c>
      <x:c r="D17" s="5" t="str">
        <x:v>Typed contextual relation</x:v>
      </x:c>
      <x:c r="E17" s="5" t="str">
        <x:v>relationship</x:v>
      </x:c>
      <x:c r="F17" s="5" t="str">
        <x:v>C3</x:v>
      </x:c>
      <x:c r="G17" s="13" t="str">
        <x:v>04</x:v>
      </x:c>
      <x:c r="H17" s="5" t="str">
        <x:v>D06 C050</x:v>
      </x:c>
    </x:row>
    <x:row r="18" ht="30" customHeight="1">
      <x:c r="A18" s="5" t="str">
        <x:v>CT13</x:v>
      </x:c>
      <x:c r="B18" s="5" t="str">
        <x:v>Context.Conversation</x:v>
      </x:c>
      <x:c r="C18" s="5" t="str">
        <x:v>XT</x:v>
      </x:c>
      <x:c r="D18" s="5" t="str">
        <x:v>Local target-linked thread</x:v>
      </x:c>
      <x:c r="E18" s="5" t="str">
        <x:v>conversation</x:v>
      </x:c>
      <x:c r="F18" s="5" t="str">
        <x:v>C3</x:v>
      </x:c>
      <x:c r="G18" s="13" t="str">
        <x:v>04</x:v>
      </x:c>
      <x:c r="H18" s="5" t="str">
        <x:v>D06 C054</x:v>
      </x:c>
    </x:row>
    <x:row r="19" ht="30" customHeight="1">
      <x:c r="A19" s="5" t="str">
        <x:v>CT14</x:v>
      </x:c>
      <x:c r="B19" s="5" t="str">
        <x:v>Context.Message</x:v>
      </x:c>
      <x:c r="C19" s="5" t="str">
        <x:v>XT</x:v>
      </x:c>
      <x:c r="D19" s="5" t="str">
        <x:v>Local conversation message</x:v>
      </x:c>
      <x:c r="E19" s="5" t="str">
        <x:v>message</x:v>
      </x:c>
      <x:c r="F19" s="5" t="str">
        <x:v>C3</x:v>
      </x:c>
      <x:c r="G19" s="13" t="str">
        <x:v>04</x:v>
      </x:c>
      <x:c r="H19" s="5" t="str">
        <x:v>D06 C054</x:v>
      </x:c>
    </x:row>
    <x:row r="20" ht="30" customHeight="1">
      <x:c r="A20" s="5" t="str">
        <x:v>CT15</x:v>
      </x:c>
      <x:c r="B20" s="5" t="str">
        <x:v>Script.Definition</x:v>
      </x:c>
      <x:c r="C20" s="5" t="str">
        <x:v>SS</x:v>
      </x:c>
      <x:c r="D20" s="5" t="str">
        <x:v>Stable personal script identity</x:v>
      </x:c>
      <x:c r="E20" s="5" t="str">
        <x:v>script-definition</x:v>
      </x:c>
      <x:c r="F20" s="5" t="str">
        <x:v>C2</x:v>
      </x:c>
      <x:c r="G20" s="13" t="str">
        <x:v>05</x:v>
      </x:c>
      <x:c r="H20" s="5" t="str">
        <x:v>D05 C041</x:v>
      </x:c>
    </x:row>
    <x:row r="21" ht="30" customHeight="1">
      <x:c r="A21" s="5" t="str">
        <x:v>CT16</x:v>
      </x:c>
      <x:c r="B21" s="5" t="str">
        <x:v>Script.Revision</x:v>
      </x:c>
      <x:c r="C21" s="5" t="str">
        <x:v>SS</x:v>
      </x:c>
      <x:c r="D21" s="5" t="str">
        <x:v>Immutable source and execution metadata</x:v>
      </x:c>
      <x:c r="E21" s="5" t="str">
        <x:v>script-revision</x:v>
      </x:c>
      <x:c r="F21" s="5" t="str">
        <x:v>C2</x:v>
      </x:c>
      <x:c r="G21" s="13" t="str">
        <x:v>05</x:v>
      </x:c>
      <x:c r="H21" s="5" t="str">
        <x:v>D05 C039/C041</x:v>
      </x:c>
    </x:row>
    <x:row r="22" ht="30" customHeight="1">
      <x:c r="A22" s="5" t="str">
        <x:v>CT17</x:v>
      </x:c>
      <x:c r="B22" s="5" t="str">
        <x:v>Procedure.TextTemplate</x:v>
      </x:c>
      <x:c r="C22" s="5" t="str">
        <x:v>DRY</x:v>
      </x:c>
      <x:c r="D22" s="5" t="str">
        <x:v>Literal text and declared variables</x:v>
      </x:c>
      <x:c r="E22" s="5" t="str">
        <x:v>text-template</x:v>
      </x:c>
      <x:c r="F22" s="5" t="str">
        <x:v>C2</x:v>
      </x:c>
      <x:c r="G22" s="13" t="str">
        <x:v>06</x:v>
      </x:c>
      <x:c r="H22" s="5" t="str">
        <x:v>D07; D12</x:v>
      </x:c>
    </x:row>
    <x:row r="23" ht="30" customHeight="1">
      <x:c r="A23" s="5" t="str">
        <x:v>CT18</x:v>
      </x:c>
      <x:c r="B23" s="5" t="str">
        <x:v>Procedure.PatternHypothesis</x:v>
      </x:c>
      <x:c r="C23" s="5" t="str">
        <x:v>DRY</x:v>
      </x:c>
      <x:c r="D23" s="5" t="str">
        <x:v>Explained repeated behavior candidate</x:v>
      </x:c>
      <x:c r="E23" s="5" t="str">
        <x:v>pattern</x:v>
      </x:c>
      <x:c r="F23" s="5" t="str">
        <x:v>C2</x:v>
      </x:c>
      <x:c r="G23" s="13" t="str">
        <x:v>06</x:v>
      </x:c>
      <x:c r="H23" s="5" t="str">
        <x:v>D07 C060</x:v>
      </x:c>
    </x:row>
    <x:row r="24" ht="30" customHeight="1">
      <x:c r="A24" s="5" t="str">
        <x:v>CT19</x:v>
      </x:c>
      <x:c r="B24" s="5" t="str">
        <x:v>Procedure.Routine</x:v>
      </x:c>
      <x:c r="C24" s="5" t="str">
        <x:v>DRY</x:v>
      </x:c>
      <x:c r="D24" s="5" t="str">
        <x:v>Finite reviewed method and conditions</x:v>
      </x:c>
      <x:c r="E24" s="5" t="str">
        <x:v>routine</x:v>
      </x:c>
      <x:c r="F24" s="5" t="str">
        <x:v>C4</x:v>
      </x:c>
      <x:c r="G24" s="13" t="str">
        <x:v>06</x:v>
      </x:c>
      <x:c r="H24" s="5" t="str">
        <x:v>D07 C062/C063</x:v>
      </x:c>
    </x:row>
    <x:row r="25" ht="30" customHeight="1">
      <x:c r="A25" s="5" t="str">
        <x:v>CT20</x:v>
      </x:c>
      <x:c r="B25" s="5" t="str">
        <x:v>Procedure.Run</x:v>
      </x:c>
      <x:c r="C25" s="5" t="str">
        <x:v>DRY</x:v>
      </x:c>
      <x:c r="D25" s="5" t="str">
        <x:v>Local method execution/checkpoint state</x:v>
      </x:c>
      <x:c r="E25" s="5" t="str">
        <x:v>routine-run</x:v>
      </x:c>
      <x:c r="F25" s="5" t="str">
        <x:v>C4</x:v>
      </x:c>
      <x:c r="G25" s="13" t="str">
        <x:v>06</x:v>
      </x:c>
      <x:c r="H25" s="5" t="str">
        <x:v>D07; DEC-06</x:v>
      </x:c>
    </x:row>
    <x:row r="26" ht="30" customHeight="1">
      <x:c r="A26" s="5" t="str">
        <x:v>CT21</x:v>
      </x:c>
      <x:c r="B26" s="5" t="str">
        <x:v>Publish.Publication</x:v>
      </x:c>
      <x:c r="C26" s="5" t="str">
        <x:v>PUB</x:v>
      </x:c>
      <x:c r="D26" s="5" t="str">
        <x:v>Canonical authored content/revision</x:v>
      </x:c>
      <x:c r="E26" s="5" t="str">
        <x:v>publication</x:v>
      </x:c>
      <x:c r="F26" s="5" t="str">
        <x:v>C3</x:v>
      </x:c>
      <x:c r="G26" s="13" t="str">
        <x:v>07</x:v>
      </x:c>
      <x:c r="H26" s="5" t="str">
        <x:v>D08; D12</x:v>
      </x:c>
    </x:row>
    <x:row r="27" ht="30" customHeight="1">
      <x:c r="A27" s="5" t="str">
        <x:v>CT22</x:v>
      </x:c>
      <x:c r="B27" s="5" t="str">
        <x:v>Publish.Destination</x:v>
      </x:c>
      <x:c r="C27" s="5" t="str">
        <x:v>PUB</x:v>
      </x:c>
      <x:c r="D27" s="5" t="str">
        <x:v>Configured platform/account target</x:v>
      </x:c>
      <x:c r="E27" s="5" t="str">
        <x:v>destination</x:v>
      </x:c>
      <x:c r="F27" s="5" t="str">
        <x:v>C3</x:v>
      </x:c>
      <x:c r="G27" s="13" t="str">
        <x:v>07</x:v>
      </x:c>
      <x:c r="H27" s="5" t="str">
        <x:v>D08 C073/C075</x:v>
      </x:c>
    </x:row>
    <x:row r="28" ht="30" customHeight="1">
      <x:c r="A28" s="5" t="str">
        <x:v>CT23</x:v>
      </x:c>
      <x:c r="B28" s="5" t="str">
        <x:v>Publish.Plan</x:v>
      </x:c>
      <x:c r="C28" s="5" t="str">
        <x:v>PUB</x:v>
      </x:c>
      <x:c r="D28" s="5" t="str">
        <x:v>Frozen preview intent and confirmation digest</x:v>
      </x:c>
      <x:c r="E28" s="5" t="str">
        <x:v>publish-plan</x:v>
      </x:c>
      <x:c r="F28" s="5" t="str">
        <x:v>C3</x:v>
      </x:c>
      <x:c r="G28" s="13" t="str">
        <x:v>07</x:v>
      </x:c>
      <x:c r="H28" s="5" t="str">
        <x:v>D08 C076/C077</x:v>
      </x:c>
    </x:row>
    <x:row r="29" ht="30" customHeight="1">
      <x:c r="A29" s="5" t="str">
        <x:v>CT24</x:v>
      </x:c>
      <x:c r="B29" s="5" t="str">
        <x:v>Publish.Representation</x:v>
      </x:c>
      <x:c r="C29" s="5" t="str">
        <x:v>PUB</x:v>
      </x:c>
      <x:c r="D29" s="5" t="str">
        <x:v>One external result and provenance</x:v>
      </x:c>
      <x:c r="E29" s="5" t="str">
        <x:v>representation</x:v>
      </x:c>
      <x:c r="F29" s="5" t="str">
        <x:v>C3</x:v>
      </x:c>
      <x:c r="G29" s="13" t="str">
        <x:v>07</x:v>
      </x:c>
      <x:c r="H29" s="5" t="str">
        <x:v>D08; D12</x:v>
      </x:c>
    </x:row>
    <x:row r="30" ht="30" customHeight="1">
      <x:c r="A30" s="5" t="str">
        <x:v>CT25</x:v>
      </x:c>
      <x:c r="B30" s="5" t="str">
        <x:v>Publish.ReplicaSet</x:v>
      </x:c>
      <x:c r="C30" s="5" t="str">
        <x:v>PUB</x:v>
      </x:c>
      <x:c r="D30" s="5" t="str">
        <x:v>One object with external representations</x:v>
      </x:c>
      <x:c r="E30" s="5" t="str">
        <x:v>replica-set</x:v>
      </x:c>
      <x:c r="F30" s="5" t="str">
        <x:v>C3</x:v>
      </x:c>
      <x:c r="G30" s="13" t="str">
        <x:v>07</x:v>
      </x:c>
      <x:c r="H30" s="5" t="str">
        <x:v>D08 C078; W D11</x:v>
      </x:c>
    </x:row>
    <x:row r="31" ht="30" customHeight="1">
      <x:c r="A31" s="5" t="str">
        <x:v>CT26</x:v>
      </x:c>
      <x:c r="B31" s="5" t="str">
        <x:v>Evidence.FidelityReport</x:v>
      </x:c>
      <x:c r="C31" s="5" t="str">
        <x:v>PUB</x:v>
      </x:c>
      <x:c r="D31" s="5" t="str">
        <x:v>Preserve/approximate/drop/require</x:v>
      </x:c>
      <x:c r="E31" s="5" t="str">
        <x:v>fidelity</x:v>
      </x:c>
      <x:c r="F31" s="5" t="str">
        <x:v>C3</x:v>
      </x:c>
      <x:c r="G31" s="13" t="str">
        <x:v>07</x:v>
      </x:c>
      <x:c r="H31" s="5" t="str">
        <x:v>D08; D12</x:v>
      </x:c>
    </x:row>
    <x:row r="32" ht="30" customHeight="1">
      <x:c r="A32" s="5" t="str">
        <x:v>CT27</x:v>
      </x:c>
      <x:c r="B32" s="5" t="str">
        <x:v>Evidence.ProvenanceRecord</x:v>
      </x:c>
      <x:c r="C32" s="5" t="str">
        <x:v>PS</x:v>
      </x:c>
      <x:c r="D32" s="5" t="str">
        <x:v>Causal component/version evidence</x:v>
      </x:c>
      <x:c r="E32" s="5" t="str">
        <x:v>provenance</x:v>
      </x:c>
      <x:c r="F32" s="5" t="str">
        <x:v>C1</x:v>
      </x:c>
      <x:c r="G32" s="13" t="str">
        <x:v>03</x:v>
      </x:c>
      <x:c r="H32" s="5" t="str">
        <x:v>D12</x:v>
      </x:c>
    </x:row>
    <x:row r="33" ht="30" customHeight="1">
      <x:c r="A33" s="5" t="str">
        <x:v>CT28</x:v>
      </x:c>
      <x:c r="B33" s="5" t="str">
        <x:v>Trust.CredentialReference</x:v>
      </x:c>
      <x:c r="C33" s="5" t="str">
        <x:v>PUB</x:v>
      </x:c>
      <x:c r="D33" s="5" t="str">
        <x:v>Opaque local authorized session reference</x:v>
      </x:c>
      <x:c r="E33" s="5" t="str">
        <x:v>credential-reference</x:v>
      </x:c>
      <x:c r="F33" s="5" t="str">
        <x:v>C3</x:v>
      </x:c>
      <x:c r="G33" s="13" t="str">
        <x:v>08</x:v>
      </x:c>
      <x:c r="H33" s="5" t="str">
        <x:v>D12; USER D10 deferral</x:v>
      </x:c>
    </x:row>
    <x:row r="34" ht="30" customHeight="1">
      <x:c r="A34" s="5" t="str">
        <x:v>CT29</x:v>
      </x:c>
      <x:c r="B34" s="5" t="str">
        <x:v>Connector.Descriptor</x:v>
      </x:c>
      <x:c r="C34" s="5" t="str">
        <x:v>EXT</x:v>
      </x:c>
      <x:c r="D34" s="5" t="str">
        <x:v>Platform operations/locality/conformance</x:v>
      </x:c>
      <x:c r="E34" s="5" t="str">
        <x:v>connector-descriptor</x:v>
      </x:c>
      <x:c r="F34" s="5" t="str">
        <x:v>C3</x:v>
      </x:c>
      <x:c r="G34" s="13" t="str">
        <x:v>08</x:v>
      </x:c>
      <x:c r="H34" s="5" t="str">
        <x:v>D08 C067</x:v>
      </x:c>
    </x:row>
  </x:sheetData>
  <x:pageMargins left="0.7" right="0.7" top="0.75" bottom="0.75" header="0.3" footer="0.3"/>
  <x:tableParts count="1">
    <x:tablePart xmlns:r="http://schemas.openxmlformats.org/officeDocument/2006/relationships" r:id="R9a19ec6529924fe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8000020980835" hidden="0" customWidth="1"/>
    <x:col min="2" max="2" width="25.559999465942383" hidden="0" customWidth="1"/>
    <x:col min="3" max="3" width="7.21999979019165" hidden="0" customWidth="1"/>
    <x:col min="4" max="4" width="8.890000343322754" hidden="0" customWidth="1"/>
    <x:col min="5" max="5" width="40" hidden="0" customWidth="1"/>
    <x:col min="6" max="6" width="38.88999938964844" hidden="0" customWidth="1"/>
    <x:col min="7" max="7" width="10" hidden="0" customWidth="1"/>
    <x:col min="8" max="8" width="14.4399995803833" hidden="0" customWidth="1"/>
    <x:col min="9" max="9" width="7.21999979019165" hidden="0" customWidth="1"/>
    <x:col min="10" max="10" width="7.219999790191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6" customHeight="1">
      <x:c r="A2" s="2" t="str">
        <x:v>Operations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Companion 0.1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0" t="str">
        <x:v>ID</x:v>
      </x:c>
      <x:c r="B5" s="11" t="str">
        <x:v>Operation</x:v>
      </x:c>
      <x:c r="C5" s="11" t="str">
        <x:v>Major</x:v>
      </x:c>
      <x:c r="D5" s="11" t="str">
        <x:v>Provider</x:v>
      </x:c>
      <x:c r="E5" s="11" t="str">
        <x:v>Input</x:v>
      </x:c>
      <x:c r="F5" s="11" t="str">
        <x:v>Output</x:v>
      </x:c>
      <x:c r="G5" s="11" t="str">
        <x:v>Permission</x:v>
      </x:c>
      <x:c r="H5" s="11" t="str">
        <x:v>Effect</x:v>
      </x:c>
      <x:c r="I5" s="11" t="str">
        <x:v>Stage</x:v>
      </x:c>
      <x:c r="J5" s="12" t="str">
        <x:v>Spec</x:v>
      </x:c>
    </x:row>
    <x:row r="6" ht="30" customHeight="1">
      <x:c r="A6" s="5" t="str">
        <x:v>OP01</x:v>
      </x:c>
      <x:c r="B6" s="5" t="str">
        <x:v>host.describe</x:v>
      </x:c>
      <x:c r="C6" s="5" t="n">
        <x:v>1</x:v>
      </x:c>
      <x:c r="D6" s="5" t="str">
        <x:v>PS</x:v>
      </x:c>
      <x:c r="E6" s="5" t="str">
        <x:v>Host query</x:v>
      </x:c>
      <x:c r="F6" s="5" t="str">
        <x:v>Availability manifest</x:v>
      </x:c>
      <x:c r="G6" s="5" t="str">
        <x:v>none</x:v>
      </x:c>
      <x:c r="H6" s="5" t="str">
        <x:v>read</x:v>
      </x:c>
      <x:c r="I6" s="5" t="str">
        <x:v>C1</x:v>
      </x:c>
      <x:c r="J6" s="13" t="str">
        <x:v>01</x:v>
      </x:c>
    </x:row>
    <x:row r="7" ht="30" customHeight="1">
      <x:c r="A7" s="5" t="str">
        <x:v>OP02</x:v>
      </x:c>
      <x:c r="B7" s="5" t="str">
        <x:v>package.list</x:v>
      </x:c>
      <x:c r="C7" s="5" t="n">
        <x:v>1</x:v>
      </x:c>
      <x:c r="D7" s="5" t="str">
        <x:v>PS</x:v>
      </x:c>
      <x:c r="E7" s="5" t="str">
        <x:v>Local catalog filter</x:v>
      </x:c>
      <x:c r="F7" s="5" t="str">
        <x:v>Package summaries</x:v>
      </x:c>
      <x:c r="G7" s="5" t="str">
        <x:v>none</x:v>
      </x:c>
      <x:c r="H7" s="5" t="str">
        <x:v>read</x:v>
      </x:c>
      <x:c r="I7" s="5" t="str">
        <x:v>C1</x:v>
      </x:c>
      <x:c r="J7" s="13" t="str">
        <x:v>02</x:v>
      </x:c>
    </x:row>
    <x:row r="8" ht="30" customHeight="1">
      <x:c r="A8" s="5" t="str">
        <x:v>OP03</x:v>
      </x:c>
      <x:c r="B8" s="5" t="str">
        <x:v>operation.list</x:v>
      </x:c>
      <x:c r="C8" s="5" t="n">
        <x:v>1</x:v>
      </x:c>
      <x:c r="D8" s="5" t="str">
        <x:v>PS</x:v>
      </x:c>
      <x:c r="E8" s="5" t="str">
        <x:v>Host/locality filter</x:v>
      </x:c>
      <x:c r="F8" s="5" t="str">
        <x:v>Operation declarations and availability</x:v>
      </x:c>
      <x:c r="G8" s="5" t="str">
        <x:v>none</x:v>
      </x:c>
      <x:c r="H8" s="5" t="str">
        <x:v>read</x:v>
      </x:c>
      <x:c r="I8" s="5" t="str">
        <x:v>C1</x:v>
      </x:c>
      <x:c r="J8" s="13" t="str">
        <x:v>03</x:v>
      </x:c>
    </x:row>
    <x:row r="9" ht="30" customHeight="1">
      <x:c r="A9" s="5" t="str">
        <x:v>OP04</x:v>
      </x:c>
      <x:c r="B9" s="5" t="str">
        <x:v>operation.cancel</x:v>
      </x:c>
      <x:c r="C9" s="5" t="n">
        <x:v>1</x:v>
      </x:c>
      <x:c r="D9" s="5" t="str">
        <x:v>PS</x:v>
      </x:c>
      <x:c r="E9" s="5" t="str">
        <x:v>Owned active request</x:v>
      </x:c>
      <x:c r="F9" s="5" t="str">
        <x:v>Cancellation acknowledgement and effect state</x:v>
      </x:c>
      <x:c r="G9" s="5" t="str">
        <x:v>PM03</x:v>
      </x:c>
      <x:c r="H9" s="5" t="str">
        <x:v>local-write</x:v>
      </x:c>
      <x:c r="I9" s="5" t="str">
        <x:v>C1</x:v>
      </x:c>
      <x:c r="J9" s="13" t="str">
        <x:v>03</x:v>
      </x:c>
    </x:row>
    <x:row r="10" ht="30" customHeight="1">
      <x:c r="A10" s="5" t="str">
        <x:v>OP05</x:v>
      </x:c>
      <x:c r="B10" s="5" t="str">
        <x:v>receipt.read</x:v>
      </x:c>
      <x:c r="C10" s="5" t="n">
        <x:v>1</x:v>
      </x:c>
      <x:c r="D10" s="5" t="str">
        <x:v>PS</x:v>
      </x:c>
      <x:c r="E10" s="5" t="str">
        <x:v>Owned receipt reference</x:v>
      </x:c>
      <x:c r="F10" s="5" t="str">
        <x:v>Authorized Host.Receipt</x:v>
      </x:c>
      <x:c r="G10" s="5" t="str">
        <x:v>PM03</x:v>
      </x:c>
      <x:c r="H10" s="5" t="str">
        <x:v>read</x:v>
      </x:c>
      <x:c r="I10" s="5" t="str">
        <x:v>C1</x:v>
      </x:c>
      <x:c r="J10" s="13" t="str">
        <x:v>03</x:v>
      </x:c>
    </x:row>
    <x:row r="11" ht="30" customHeight="1">
      <x:c r="A11" s="5" t="str">
        <x:v>OP06</x:v>
      </x:c>
      <x:c r="B11" s="5" t="str">
        <x:v>event.subscribe</x:v>
      </x:c>
      <x:c r="C11" s="5" t="n">
        <x:v>1</x:v>
      </x:c>
      <x:c r="D11" s="5" t="str">
        <x:v>PS</x:v>
      </x:c>
      <x:c r="E11" s="5" t="str">
        <x:v>Authorized subject/type + after sequence</x:v>
      </x:c>
      <x:c r="F11" s="5" t="str">
        <x:v>Event page or retention-gap result</x:v>
      </x:c>
      <x:c r="G11" s="5" t="str">
        <x:v>PM03</x:v>
      </x:c>
      <x:c r="H11" s="5" t="str">
        <x:v>read</x:v>
      </x:c>
      <x:c r="I11" s="5" t="str">
        <x:v>C1</x:v>
      </x:c>
      <x:c r="J11" s="13" t="str">
        <x:v>03</x:v>
      </x:c>
    </x:row>
    <x:row r="12" ht="30" customHeight="1">
      <x:c r="A12" s="5" t="str">
        <x:v>OP07</x:v>
      </x:c>
      <x:c r="B12" s="5" t="str">
        <x:v>package.export</x:v>
      </x:c>
      <x:c r="C12" s="5" t="n">
        <x:v>1</x:v>
      </x:c>
      <x:c r="D12" s="5" t="str">
        <x:v>PS</x:v>
      </x:c>
      <x:c r="E12" s="5" t="str">
        <x:v>Selected package/revision</x:v>
      </x:c>
      <x:c r="F12" s="5" t="str">
        <x:v>Inert source/package bundle</x:v>
      </x:c>
      <x:c r="G12" s="5" t="str">
        <x:v>PM15</x:v>
      </x:c>
      <x:c r="H12" s="5" t="str">
        <x:v>read</x:v>
      </x:c>
      <x:c r="I12" s="5" t="str">
        <x:v>C1</x:v>
      </x:c>
      <x:c r="J12" s="13" t="str">
        <x:v>02</x:v>
      </x:c>
    </x:row>
    <x:row r="13" ht="30" customHeight="1">
      <x:c r="A13" s="5" t="str">
        <x:v>OP08</x:v>
      </x:c>
      <x:c r="B13" s="5" t="str">
        <x:v>package.inspect</x:v>
      </x:c>
      <x:c r="C13" s="5" t="n">
        <x:v>1</x:v>
      </x:c>
      <x:c r="D13" s="5" t="str">
        <x:v>PS</x:v>
      </x:c>
      <x:c r="E13" s="5" t="str">
        <x:v>Package ID</x:v>
      </x:c>
      <x:c r="F13" s="5" t="str">
        <x:v>Manifest + installation</x:v>
      </x:c>
      <x:c r="G13" s="5" t="str">
        <x:v>none</x:v>
      </x:c>
      <x:c r="H13" s="5" t="str">
        <x:v>read</x:v>
      </x:c>
      <x:c r="I13" s="5" t="str">
        <x:v>C1</x:v>
      </x:c>
      <x:c r="J13" s="13" t="str">
        <x:v>02</x:v>
      </x:c>
    </x:row>
    <x:row r="14" ht="30" customHeight="1">
      <x:c r="A14" s="5" t="str">
        <x:v>OP09</x:v>
      </x:c>
      <x:c r="B14" s="5" t="str">
        <x:v>package.install</x:v>
      </x:c>
      <x:c r="C14" s="5" t="n">
        <x:v>1</x:v>
      </x:c>
      <x:c r="D14" s="5" t="str">
        <x:v>PS</x:v>
      </x:c>
      <x:c r="E14" s="5" t="str">
        <x:v>Manifest + file set</x:v>
      </x:c>
      <x:c r="F14" s="5" t="str">
        <x:v>Installation + receipt</x:v>
      </x:c>
      <x:c r="G14" s="5" t="str">
        <x:v>PM01</x:v>
      </x:c>
      <x:c r="H14" s="5" t="str">
        <x:v>local-write</x:v>
      </x:c>
      <x:c r="I14" s="5" t="str">
        <x:v>C1</x:v>
      </x:c>
      <x:c r="J14" s="13" t="str">
        <x:v>02</x:v>
      </x:c>
    </x:row>
    <x:row r="15" ht="30" customHeight="1">
      <x:c r="A15" s="5" t="str">
        <x:v>OP10</x:v>
      </x:c>
      <x:c r="B15" s="5" t="str">
        <x:v>package.enable</x:v>
      </x:c>
      <x:c r="C15" s="5" t="n">
        <x:v>1</x:v>
      </x:c>
      <x:c r="D15" s="5" t="str">
        <x:v>PS</x:v>
      </x:c>
      <x:c r="E15" s="5" t="str">
        <x:v>Package revision + reviewed grants</x:v>
      </x:c>
      <x:c r="F15" s="5" t="str">
        <x:v>Installation</x:v>
      </x:c>
      <x:c r="G15" s="5" t="str">
        <x:v>PM01</x:v>
      </x:c>
      <x:c r="H15" s="5" t="str">
        <x:v>local-write</x:v>
      </x:c>
      <x:c r="I15" s="5" t="str">
        <x:v>C1</x:v>
      </x:c>
      <x:c r="J15" s="13" t="str">
        <x:v>02</x:v>
      </x:c>
    </x:row>
    <x:row r="16" ht="30" customHeight="1">
      <x:c r="A16" s="5" t="str">
        <x:v>OP11</x:v>
      </x:c>
      <x:c r="B16" s="5" t="str">
        <x:v>package.disable</x:v>
      </x:c>
      <x:c r="C16" s="5" t="n">
        <x:v>1</x:v>
      </x:c>
      <x:c r="D16" s="5" t="str">
        <x:v>PS</x:v>
      </x:c>
      <x:c r="E16" s="5" t="str">
        <x:v>Package ID</x:v>
      </x:c>
      <x:c r="F16" s="5" t="str">
        <x:v>Installation + receipt</x:v>
      </x:c>
      <x:c r="G16" s="5" t="str">
        <x:v>PM01</x:v>
      </x:c>
      <x:c r="H16" s="5" t="str">
        <x:v>local-write</x:v>
      </x:c>
      <x:c r="I16" s="5" t="str">
        <x:v>C1</x:v>
      </x:c>
      <x:c r="J16" s="13" t="str">
        <x:v>02</x:v>
      </x:c>
    </x:row>
    <x:row r="17" ht="30" customHeight="1">
      <x:c r="A17" s="5" t="str">
        <x:v>OP12</x:v>
      </x:c>
      <x:c r="B17" s="5" t="str">
        <x:v>package.update</x:v>
      </x:c>
      <x:c r="C17" s="5" t="n">
        <x:v>1</x:v>
      </x:c>
      <x:c r="D17" s="5" t="str">
        <x:v>PS</x:v>
      </x:c>
      <x:c r="E17" s="5" t="str">
        <x:v>Staged revision</x:v>
      </x:c>
      <x:c r="F17" s="5" t="str">
        <x:v>Review result + installation</x:v>
      </x:c>
      <x:c r="G17" s="5" t="str">
        <x:v>PM01</x:v>
      </x:c>
      <x:c r="H17" s="5" t="str">
        <x:v>local-write</x:v>
      </x:c>
      <x:c r="I17" s="5" t="str">
        <x:v>C1</x:v>
      </x:c>
      <x:c r="J17" s="13" t="str">
        <x:v>02</x:v>
      </x:c>
    </x:row>
    <x:row r="18" ht="30" customHeight="1">
      <x:c r="A18" s="5" t="str">
        <x:v>OP13</x:v>
      </x:c>
      <x:c r="B18" s="5" t="str">
        <x:v>package.remove</x:v>
      </x:c>
      <x:c r="C18" s="5" t="n">
        <x:v>1</x:v>
      </x:c>
      <x:c r="D18" s="5" t="str">
        <x:v>PS</x:v>
      </x:c>
      <x:c r="E18" s="5" t="str">
        <x:v>Package ID + retention choice</x:v>
      </x:c>
      <x:c r="F18" s="5" t="str">
        <x:v>Receipt</x:v>
      </x:c>
      <x:c r="G18" s="5" t="str">
        <x:v>PM01</x:v>
      </x:c>
      <x:c r="H18" s="5" t="str">
        <x:v>local-write</x:v>
      </x:c>
      <x:c r="I18" s="5" t="str">
        <x:v>C1</x:v>
      </x:c>
      <x:c r="J18" s="13" t="str">
        <x:v>02</x:v>
      </x:c>
    </x:row>
    <x:row r="19" ht="30" customHeight="1">
      <x:c r="A19" s="5" t="str">
        <x:v>OP14</x:v>
      </x:c>
      <x:c r="B19" s="5" t="str">
        <x:v>context.capture</x:v>
      </x:c>
      <x:c r="C19" s="5" t="n">
        <x:v>1</x:v>
      </x:c>
      <x:c r="D19" s="5" t="str">
        <x:v>PS</x:v>
      </x:c>
      <x:c r="E19" s="5" t="str">
        <x:v>Pinned browser context request</x:v>
      </x:c>
      <x:c r="F19" s="5" t="str">
        <x:v>Browser.Context</x:v>
      </x:c>
      <x:c r="G19" s="5" t="str">
        <x:v>PM02</x:v>
      </x:c>
      <x:c r="H19" s="5" t="str">
        <x:v>read</x:v>
      </x:c>
      <x:c r="I19" s="5" t="str">
        <x:v>C1</x:v>
      </x:c>
      <x:c r="J19" s="13" t="str">
        <x:v>03</x:v>
      </x:c>
    </x:row>
    <x:row r="20" ht="30" customHeight="1">
      <x:c r="A20" s="5" t="str">
        <x:v>OP15</x:v>
      </x:c>
      <x:c r="B20" s="5" t="str">
        <x:v>storage.get</x:v>
      </x:c>
      <x:c r="C20" s="5" t="n">
        <x:v>1</x:v>
      </x:c>
      <x:c r="D20" s="5" t="str">
        <x:v>PS</x:v>
      </x:c>
      <x:c r="E20" s="5" t="str">
        <x:v>Owned namespace/key</x:v>
      </x:c>
      <x:c r="F20" s="5" t="str">
        <x:v>Typed local value</x:v>
      </x:c>
      <x:c r="G20" s="5" t="str">
        <x:v>PM03</x:v>
      </x:c>
      <x:c r="H20" s="5" t="str">
        <x:v>read</x:v>
      </x:c>
      <x:c r="I20" s="5" t="str">
        <x:v>C1</x:v>
      </x:c>
      <x:c r="J20" s="13" t="str">
        <x:v>10</x:v>
      </x:c>
    </x:row>
    <x:row r="21" ht="30" customHeight="1">
      <x:c r="A21" s="5" t="str">
        <x:v>OP16</x:v>
      </x:c>
      <x:c r="B21" s="5" t="str">
        <x:v>storage.put</x:v>
      </x:c>
      <x:c r="C21" s="5" t="n">
        <x:v>1</x:v>
      </x:c>
      <x:c r="D21" s="5" t="str">
        <x:v>PS</x:v>
      </x:c>
      <x:c r="E21" s="5" t="str">
        <x:v>Owned namespace/value</x:v>
      </x:c>
      <x:c r="F21" s="5" t="str">
        <x:v>Local commit receipt</x:v>
      </x:c>
      <x:c r="G21" s="5" t="str">
        <x:v>PM03</x:v>
      </x:c>
      <x:c r="H21" s="5" t="str">
        <x:v>local-write</x:v>
      </x:c>
      <x:c r="I21" s="5" t="str">
        <x:v>C1</x:v>
      </x:c>
      <x:c r="J21" s="13" t="str">
        <x:v>10</x:v>
      </x:c>
    </x:row>
    <x:row r="22" ht="30" customHeight="1">
      <x:c r="A22" s="5" t="str">
        <x:v>OP17</x:v>
      </x:c>
      <x:c r="B22" s="5" t="str">
        <x:v>xtratype.readContext</x:v>
      </x:c>
      <x:c r="C22" s="5" t="n">
        <x:v>1</x:v>
      </x:c>
      <x:c r="D22" s="5" t="str">
        <x:v>XT</x:v>
      </x:c>
      <x:c r="E22" s="5" t="str">
        <x:v>Target/Object + local scope</x:v>
      </x:c>
      <x:c r="F22" s="5" t="str">
        <x:v>Context page</x:v>
      </x:c>
      <x:c r="G22" s="5" t="str">
        <x:v>PM07</x:v>
      </x:c>
      <x:c r="H22" s="5" t="str">
        <x:v>read</x:v>
      </x:c>
      <x:c r="I22" s="5" t="str">
        <x:v>C3</x:v>
      </x:c>
      <x:c r="J22" s="13" t="str">
        <x:v>04</x:v>
      </x:c>
    </x:row>
    <x:row r="23" ht="30" customHeight="1">
      <x:c r="A23" s="5" t="str">
        <x:v>OP18</x:v>
      </x:c>
      <x:c r="B23" s="5" t="str">
        <x:v>xtratype.proposeDraft</x:v>
      </x:c>
      <x:c r="C23" s="5" t="n">
        <x:v>1</x:v>
      </x:c>
      <x:c r="D23" s="5" t="str">
        <x:v>XT</x:v>
      </x:c>
      <x:c r="E23" s="5" t="str">
        <x:v>Typed draft + context ref</x:v>
      </x:c>
      <x:c r="F23" s="5" t="str">
        <x:v>Draft reference</x:v>
      </x:c>
      <x:c r="G23" s="5" t="str">
        <x:v>PM08</x:v>
      </x:c>
      <x:c r="H23" s="5" t="str">
        <x:v>local-write</x:v>
      </x:c>
      <x:c r="I23" s="5" t="str">
        <x:v>C4</x:v>
      </x:c>
      <x:c r="J23" s="13" t="str">
        <x:v>04</x:v>
      </x:c>
    </x:row>
    <x:row r="24" ht="30" customHeight="1">
      <x:c r="A24" s="5" t="str">
        <x:v>OP19</x:v>
      </x:c>
      <x:c r="B24" s="5" t="str">
        <x:v>xtratype.attachExtension</x:v>
      </x:c>
      <x:c r="C24" s="5" t="n">
        <x:v>1</x:v>
      </x:c>
      <x:c r="D24" s="5" t="str">
        <x:v>XT</x:v>
      </x:c>
      <x:c r="E24" s="5" t="str">
        <x:v>AnnotationExtension</x:v>
      </x:c>
      <x:c r="F24" s="5" t="str">
        <x:v>Local commit receipt</x:v>
      </x:c>
      <x:c r="G24" s="5" t="str">
        <x:v>PM09</x:v>
      </x:c>
      <x:c r="H24" s="5" t="str">
        <x:v>local-write</x:v>
      </x:c>
      <x:c r="I24" s="5" t="str">
        <x:v>C3</x:v>
      </x:c>
      <x:c r="J24" s="13" t="str">
        <x:v>04</x:v>
      </x:c>
    </x:row>
    <x:row r="25" ht="30" customHeight="1">
      <x:c r="A25" s="5" t="str">
        <x:v>OP20</x:v>
      </x:c>
      <x:c r="B25" s="5" t="str">
        <x:v>xtratype.relate</x:v>
      </x:c>
      <x:c r="C25" s="5" t="n">
        <x:v>1</x:v>
      </x:c>
      <x:c r="D25" s="5" t="str">
        <x:v>XT</x:v>
      </x:c>
      <x:c r="E25" s="5" t="str">
        <x:v>Context.Relationship</x:v>
      </x:c>
      <x:c r="F25" s="5" t="str">
        <x:v>Local commit receipt</x:v>
      </x:c>
      <x:c r="G25" s="5" t="str">
        <x:v>PM09</x:v>
      </x:c>
      <x:c r="H25" s="5" t="str">
        <x:v>local-write</x:v>
      </x:c>
      <x:c r="I25" s="5" t="str">
        <x:v>C3</x:v>
      </x:c>
      <x:c r="J25" s="13" t="str">
        <x:v>04</x:v>
      </x:c>
    </x:row>
    <x:row r="26" ht="30" customHeight="1">
      <x:c r="A26" s="5" t="str">
        <x:v>OP21</x:v>
      </x:c>
      <x:c r="B26" s="5" t="str">
        <x:v>script.importDraft</x:v>
      </x:c>
      <x:c r="C26" s="5" t="n">
        <x:v>1</x:v>
      </x:c>
      <x:c r="D26" s="5" t="str">
        <x:v>SS</x:v>
      </x:c>
      <x:c r="E26" s="5" t="str">
        <x:v>Source/template + provenance</x:v>
      </x:c>
      <x:c r="F26" s="5" t="str">
        <x:v>Disabled Script.Definition</x:v>
      </x:c>
      <x:c r="G26" s="5" t="str">
        <x:v>PM03</x:v>
      </x:c>
      <x:c r="H26" s="5" t="str">
        <x:v>local-write</x:v>
      </x:c>
      <x:c r="I26" s="5" t="str">
        <x:v>C2</x:v>
      </x:c>
      <x:c r="J26" s="13" t="str">
        <x:v>05</x:v>
      </x:c>
    </x:row>
    <x:row r="27" ht="30" customHeight="1">
      <x:c r="A27" s="5" t="str">
        <x:v>OP22</x:v>
      </x:c>
      <x:c r="B27" s="5" t="str">
        <x:v>script.execute</x:v>
      </x:c>
      <x:c r="C27" s="5" t="n">
        <x:v>1</x:v>
      </x:c>
      <x:c r="D27" s="5" t="str">
        <x:v>SS</x:v>
      </x:c>
      <x:c r="E27" s="5" t="str">
        <x:v>Pinned revision + approved context/input</x:v>
      </x:c>
      <x:c r="F27" s="5" t="str">
        <x:v>Host.Receipt</x:v>
      </x:c>
      <x:c r="G27" s="5" t="str">
        <x:v>PM04</x:v>
      </x:c>
      <x:c r="H27" s="5" t="str">
        <x:v>page-write</x:v>
      </x:c>
      <x:c r="I27" s="5" t="str">
        <x:v>C2</x:v>
      </x:c>
      <x:c r="J27" s="13" t="str">
        <x:v>05</x:v>
      </x:c>
    </x:row>
    <x:row r="28" ht="30" customHeight="1">
      <x:c r="A28" s="5" t="str">
        <x:v>OP23</x:v>
      </x:c>
      <x:c r="B28" s="5" t="str">
        <x:v>script.test</x:v>
      </x:c>
      <x:c r="C28" s="5" t="n">
        <x:v>1</x:v>
      </x:c>
      <x:c r="D28" s="5" t="str">
        <x:v>SS</x:v>
      </x:c>
      <x:c r="E28" s="5" t="str">
        <x:v>Revision + controlled fixtures</x:v>
      </x:c>
      <x:c r="F28" s="5" t="str">
        <x:v>Fixture results</x:v>
      </x:c>
      <x:c r="G28" s="5" t="str">
        <x:v>PM03</x:v>
      </x:c>
      <x:c r="H28" s="5" t="str">
        <x:v>local-write</x:v>
      </x:c>
      <x:c r="I28" s="5" t="str">
        <x:v>C2</x:v>
      </x:c>
      <x:c r="J28" s="13" t="str">
        <x:v>05</x:v>
      </x:c>
    </x:row>
    <x:row r="29" ht="30" customHeight="1">
      <x:c r="A29" s="5" t="str">
        <x:v>OP24</x:v>
      </x:c>
      <x:c r="B29" s="5" t="str">
        <x:v>dry.observe</x:v>
      </x:c>
      <x:c r="C29" s="5" t="n">
        <x:v>1</x:v>
      </x:c>
      <x:c r="D29" s="5" t="str">
        <x:v>DRY</x:v>
      </x:c>
      <x:c r="E29" s="5" t="str">
        <x:v>Eligible committed input/action</x:v>
      </x:c>
      <x:c r="F29" s="5" t="str">
        <x:v>Local observation/pattern result</x:v>
      </x:c>
      <x:c r="G29" s="5" t="str">
        <x:v>PM05</x:v>
      </x:c>
      <x:c r="H29" s="5" t="str">
        <x:v>local-write</x:v>
      </x:c>
      <x:c r="I29" s="5" t="str">
        <x:v>C2</x:v>
      </x:c>
      <x:c r="J29" s="13" t="str">
        <x:v>06</x:v>
      </x:c>
    </x:row>
    <x:row r="30" ht="30" customHeight="1">
      <x:c r="A30" s="5" t="str">
        <x:v>OP25</x:v>
      </x:c>
      <x:c r="B30" s="5" t="str">
        <x:v>dry.saveTemplate</x:v>
      </x:c>
      <x:c r="C30" s="5" t="n">
        <x:v>1</x:v>
      </x:c>
      <x:c r="D30" s="5" t="str">
        <x:v>DRY</x:v>
      </x:c>
      <x:c r="E30" s="5" t="str">
        <x:v>Reviewed template/defaults</x:v>
      </x:c>
      <x:c r="F30" s="5" t="str">
        <x:v>TextTemplate</x:v>
      </x:c>
      <x:c r="G30" s="5" t="str">
        <x:v>PM03</x:v>
      </x:c>
      <x:c r="H30" s="5" t="str">
        <x:v>local-write</x:v>
      </x:c>
      <x:c r="I30" s="5" t="str">
        <x:v>C2</x:v>
      </x:c>
      <x:c r="J30" s="13" t="str">
        <x:v>06</x:v>
      </x:c>
    </x:row>
    <x:row r="31" ht="30" customHeight="1">
      <x:c r="A31" s="5" t="str">
        <x:v>OP26</x:v>
      </x:c>
      <x:c r="B31" s="5" t="str">
        <x:v>dry.insert</x:v>
      </x:c>
      <x:c r="C31" s="5" t="n">
        <x:v>1</x:v>
      </x:c>
      <x:c r="D31" s="5" t="str">
        <x:v>DRY</x:v>
      </x:c>
      <x:c r="E31" s="5" t="str">
        <x:v>Resolved text + unchanged target</x:v>
      </x:c>
      <x:c r="F31" s="5" t="str">
        <x:v>Insertion receipt</x:v>
      </x:c>
      <x:c r="G31" s="5" t="str">
        <x:v>PM06</x:v>
      </x:c>
      <x:c r="H31" s="5" t="str">
        <x:v>page-write</x:v>
      </x:c>
      <x:c r="I31" s="5" t="str">
        <x:v>C2</x:v>
      </x:c>
      <x:c r="J31" s="13" t="str">
        <x:v>06</x:v>
      </x:c>
    </x:row>
    <x:row r="32" ht="30" customHeight="1">
      <x:c r="A32" s="5" t="str">
        <x:v>OP27</x:v>
      </x:c>
      <x:c r="B32" s="5" t="str">
        <x:v>dry.run</x:v>
      </x:c>
      <x:c r="C32" s="5" t="n">
        <x:v>1</x:v>
      </x:c>
      <x:c r="D32" s="5" t="str">
        <x:v>DRY</x:v>
      </x:c>
      <x:c r="E32" s="5" t="str">
        <x:v>Reviewed Routine + explicit values</x:v>
      </x:c>
      <x:c r="F32" s="5" t="str">
        <x:v>Procedure.Run</x:v>
      </x:c>
      <x:c r="G32" s="5" t="str">
        <x:v>PM13</x:v>
      </x:c>
      <x:c r="H32" s="5" t="str">
        <x:v>page-write</x:v>
      </x:c>
      <x:c r="I32" s="5" t="str">
        <x:v>C4</x:v>
      </x:c>
      <x:c r="J32" s="13" t="str">
        <x:v>06</x:v>
      </x:c>
    </x:row>
    <x:row r="33" ht="30" customHeight="1">
      <x:c r="A33" s="5" t="str">
        <x:v>OP28</x:v>
      </x:c>
      <x:c r="B33" s="5" t="str">
        <x:v>dry.promote</x:v>
      </x:c>
      <x:c r="C33" s="5" t="n">
        <x:v>1</x:v>
      </x:c>
      <x:c r="D33" s="5" t="str">
        <x:v>DRY</x:v>
      </x:c>
      <x:c r="E33" s="5" t="str">
        <x:v>Reviewed helper/routine</x:v>
      </x:c>
      <x:c r="F33" s="5" t="str">
        <x:v>Script Studio draft reference</x:v>
      </x:c>
      <x:c r="G33" s="5" t="str">
        <x:v>PM03</x:v>
      </x:c>
      <x:c r="H33" s="5" t="str">
        <x:v>local-write</x:v>
      </x:c>
      <x:c r="I33" s="5" t="str">
        <x:v>C4</x:v>
      </x:c>
      <x:c r="J33" s="13" t="str">
        <x:v>06</x:v>
      </x:c>
    </x:row>
    <x:row r="34" ht="30" customHeight="1">
      <x:c r="A34" s="5" t="str">
        <x:v>OP29</x:v>
      </x:c>
      <x:c r="B34" s="5" t="str">
        <x:v>publish.compose</x:v>
      </x:c>
      <x:c r="C34" s="5" t="n">
        <x:v>1</x:v>
      </x:c>
      <x:c r="D34" s="5" t="str">
        <x:v>PUB</x:v>
      </x:c>
      <x:c r="E34" s="5" t="str">
        <x:v>Selected text/media</x:v>
      </x:c>
      <x:c r="F34" s="5" t="str">
        <x:v>Publication draft</x:v>
      </x:c>
      <x:c r="G34" s="5" t="str">
        <x:v>PM10</x:v>
      </x:c>
      <x:c r="H34" s="5" t="str">
        <x:v>local-write</x:v>
      </x:c>
      <x:c r="I34" s="5" t="str">
        <x:v>C3</x:v>
      </x:c>
      <x:c r="J34" s="13" t="str">
        <x:v>07</x:v>
      </x:c>
    </x:row>
    <x:row r="35" ht="30" customHeight="1">
      <x:c r="A35" s="5" t="str">
        <x:v>OP30</x:v>
      </x:c>
      <x:c r="B35" s="5" t="str">
        <x:v>publish.preview</x:v>
      </x:c>
      <x:c r="C35" s="5" t="n">
        <x:v>1</x:v>
      </x:c>
      <x:c r="D35" s="5" t="str">
        <x:v>PUB</x:v>
      </x:c>
      <x:c r="E35" s="5" t="str">
        <x:v>Publication revision + destinations</x:v>
      </x:c>
      <x:c r="F35" s="5" t="str">
        <x:v>Publish.Plan + fidelity</x:v>
      </x:c>
      <x:c r="G35" s="5" t="str">
        <x:v>PM10</x:v>
      </x:c>
      <x:c r="H35" s="5" t="str">
        <x:v>local-write</x:v>
      </x:c>
      <x:c r="I35" s="5" t="str">
        <x:v>C3</x:v>
      </x:c>
      <x:c r="J35" s="13" t="str">
        <x:v>07</x:v>
      </x:c>
    </x:row>
    <x:row r="36" ht="30" customHeight="1">
      <x:c r="A36" s="5" t="str">
        <x:v>OP31</x:v>
      </x:c>
      <x:c r="B36" s="5" t="str">
        <x:v>publish.confirm</x:v>
      </x:c>
      <x:c r="C36" s="5" t="n">
        <x:v>1</x:v>
      </x:c>
      <x:c r="D36" s="5" t="str">
        <x:v>PUB</x:v>
      </x:c>
      <x:c r="E36" s="5" t="str">
        <x:v>Plan digest + explicit user gesture</x:v>
      </x:c>
      <x:c r="F36" s="5" t="str">
        <x:v>Local confirmation receipt</x:v>
      </x:c>
      <x:c r="G36" s="5" t="str">
        <x:v>PM11</x:v>
      </x:c>
      <x:c r="H36" s="5" t="str">
        <x:v>local-write</x:v>
      </x:c>
      <x:c r="I36" s="5" t="str">
        <x:v>C3</x:v>
      </x:c>
      <x:c r="J36" s="13" t="str">
        <x:v>07</x:v>
      </x:c>
    </x:row>
    <x:row r="37" ht="30" customHeight="1">
      <x:c r="A37" s="5" t="str">
        <x:v>OP32</x:v>
      </x:c>
      <x:c r="B37" s="5" t="str">
        <x:v>publish.execute</x:v>
      </x:c>
      <x:c r="C37" s="5" t="n">
        <x:v>1</x:v>
      </x:c>
      <x:c r="D37" s="5" t="str">
        <x:v>PUB</x:v>
      </x:c>
      <x:c r="E37" s="5" t="str">
        <x:v>Confirmed plan reference</x:v>
      </x:c>
      <x:c r="F37" s="5" t="str">
        <x:v>Per-target results + ReplicaSet</x:v>
      </x:c>
      <x:c r="G37" s="5" t="str">
        <x:v>PM11</x:v>
      </x:c>
      <x:c r="H37" s="5" t="str">
        <x:v>external-write</x:v>
      </x:c>
      <x:c r="I37" s="5" t="str">
        <x:v>C3</x:v>
      </x:c>
      <x:c r="J37" s="13" t="str">
        <x:v>07</x:v>
      </x:c>
    </x:row>
    <x:row r="38" ht="30" customHeight="1">
      <x:c r="A38" s="5" t="str">
        <x:v>OP33</x:v>
      </x:c>
      <x:c r="B38" s="5" t="str">
        <x:v>publish.retry</x:v>
      </x:c>
      <x:c r="C38" s="5" t="n">
        <x:v>1</x:v>
      </x:c>
      <x:c r="D38" s="5" t="str">
        <x:v>PUB</x:v>
      </x:c>
      <x:c r="E38" s="5" t="str">
        <x:v>Reconciled safe target subset</x:v>
      </x:c>
      <x:c r="F38" s="5" t="str">
        <x:v>Per-target results</x:v>
      </x:c>
      <x:c r="G38" s="5" t="str">
        <x:v>PM11</x:v>
      </x:c>
      <x:c r="H38" s="5" t="str">
        <x:v>external-write</x:v>
      </x:c>
      <x:c r="I38" s="5" t="str">
        <x:v>C3</x:v>
      </x:c>
      <x:c r="J38" s="13" t="str">
        <x:v>07</x:v>
      </x:c>
    </x:row>
    <x:row r="39" ht="30" customHeight="1">
      <x:c r="A39" s="5" t="str">
        <x:v>OP34</x:v>
      </x:c>
      <x:c r="B39" s="5" t="str">
        <x:v>publish.cancel</x:v>
      </x:c>
      <x:c r="C39" s="5" t="n">
        <x:v>1</x:v>
      </x:c>
      <x:c r="D39" s="5" t="str">
        <x:v>PUB</x:v>
      </x:c>
      <x:c r="E39" s="5" t="str">
        <x:v>Local publish intent</x:v>
      </x:c>
      <x:c r="F39" s="5" t="str">
        <x:v>Cancellation receipt</x:v>
      </x:c>
      <x:c r="G39" s="5" t="str">
        <x:v>PM11</x:v>
      </x:c>
      <x:c r="H39" s="5" t="str">
        <x:v>local-write</x:v>
      </x:c>
      <x:c r="I39" s="5" t="str">
        <x:v>C3</x:v>
      </x:c>
      <x:c r="J39" s="13" t="str">
        <x:v>07</x:v>
      </x:c>
    </x:row>
    <x:row r="40" ht="30" customHeight="1">
      <x:c r="A40" s="5" t="str">
        <x:v>OP35</x:v>
      </x:c>
      <x:c r="B40" s="5" t="str">
        <x:v>connector.preview</x:v>
      </x:c>
      <x:c r="C40" s="5" t="n">
        <x:v>1</x:v>
      </x:c>
      <x:c r="D40" s="5" t="str">
        <x:v>EXT</x:v>
      </x:c>
      <x:c r="E40" s="5" t="str">
        <x:v>Publication + destination snapshot</x:v>
      </x:c>
      <x:c r="F40" s="5" t="str">
        <x:v>Target payload + fidelity</x:v>
      </x:c>
      <x:c r="G40" s="5" t="str">
        <x:v>PM10</x:v>
      </x:c>
      <x:c r="H40" s="5" t="str">
        <x:v>read</x:v>
      </x:c>
      <x:c r="I40" s="5" t="str">
        <x:v>C3</x:v>
      </x:c>
      <x:c r="J40" s="13" t="str">
        <x:v>08</x:v>
      </x:c>
    </x:row>
    <x:row r="41" ht="30" customHeight="1">
      <x:c r="A41" s="5" t="str">
        <x:v>OP36</x:v>
      </x:c>
      <x:c r="B41" s="5" t="str">
        <x:v>connector.resolveAccount</x:v>
      </x:c>
      <x:c r="C41" s="5" t="n">
        <x:v>1</x:v>
      </x:c>
      <x:c r="D41" s="5" t="str">
        <x:v>EXT</x:v>
      </x:c>
      <x:c r="E41" s="5" t="str">
        <x:v>Authorized pinned local context</x:v>
      </x:c>
      <x:c r="F41" s="5" t="str">
        <x:v>Nonsecret account evidence</x:v>
      </x:c>
      <x:c r="G41" s="5" t="str">
        <x:v>PM12</x:v>
      </x:c>
      <x:c r="H41" s="5" t="str">
        <x:v>read</x:v>
      </x:c>
      <x:c r="I41" s="5" t="str">
        <x:v>C3</x:v>
      </x:c>
      <x:c r="J41" s="13" t="str">
        <x:v>08</x:v>
      </x:c>
    </x:row>
    <x:row r="42" ht="30" customHeight="1">
      <x:c r="A42" s="5" t="str">
        <x:v>OP37</x:v>
      </x:c>
      <x:c r="B42" s="5" t="str">
        <x:v>connector.create</x:v>
      </x:c>
      <x:c r="C42" s="5" t="n">
        <x:v>1</x:v>
      </x:c>
      <x:c r="D42" s="5" t="str">
        <x:v>EXT</x:v>
      </x:c>
      <x:c r="E42" s="5" t="str">
        <x:v>Confirmed immutable target intent</x:v>
      </x:c>
      <x:c r="F42" s="5" t="str">
        <x:v>Handle/result/unknown outcome</x:v>
      </x:c>
      <x:c r="G42" s="5" t="str">
        <x:v>PM11</x:v>
      </x:c>
      <x:c r="H42" s="5" t="str">
        <x:v>external-write</x:v>
      </x:c>
      <x:c r="I42" s="5" t="str">
        <x:v>C3</x:v>
      </x:c>
      <x:c r="J42" s="13" t="str">
        <x:v>08</x:v>
      </x:c>
    </x:row>
    <x:row r="43" ht="30" customHeight="1">
      <x:c r="A43" s="5" t="str">
        <x:v>OP38</x:v>
      </x:c>
      <x:c r="B43" s="5" t="str">
        <x:v>connector.inspectResult</x:v>
      </x:c>
      <x:c r="C43" s="5" t="n">
        <x:v>1</x:v>
      </x:c>
      <x:c r="D43" s="5" t="str">
        <x:v>EXT</x:v>
      </x:c>
      <x:c r="E43" s="5" t="str">
        <x:v>Intent/handle + local authority</x:v>
      </x:c>
      <x:c r="F43" s="5" t="str">
        <x:v>Reconciliation evidence</x:v>
      </x:c>
      <x:c r="G43" s="5" t="str">
        <x:v>PM12</x:v>
      </x:c>
      <x:c r="H43" s="5" t="str">
        <x:v>read</x:v>
      </x:c>
      <x:c r="I43" s="5" t="str">
        <x:v>C3</x:v>
      </x:c>
      <x:c r="J43" s="13" t="str">
        <x:v>08</x:v>
      </x:c>
    </x:row>
    <x:row r="44" ht="30" customHeight="1">
      <x:c r="A44" s="5" t="str">
        <x:v>OP39</x:v>
      </x:c>
      <x:c r="B44" s="5" t="str">
        <x:v>data.export</x:v>
      </x:c>
      <x:c r="C44" s="5" t="n">
        <x:v>1</x:v>
      </x:c>
      <x:c r="D44" s="5" t="str">
        <x:v>PS</x:v>
      </x:c>
      <x:c r="E44" s="5" t="str">
        <x:v>Explicit record selection</x:v>
      </x:c>
      <x:c r="F44" s="5" t="str">
        <x:v>Inert hashed bundle</x:v>
      </x:c>
      <x:c r="G44" s="5" t="str">
        <x:v>PM15</x:v>
      </x:c>
      <x:c r="H44" s="5" t="str">
        <x:v>read</x:v>
      </x:c>
      <x:c r="I44" s="5" t="str">
        <x:v>C1</x:v>
      </x:c>
      <x:c r="J44" s="13" t="str">
        <x:v>10</x:v>
      </x:c>
    </x:row>
    <x:row r="45" ht="30" customHeight="1">
      <x:c r="A45" s="5" t="str">
        <x:v>OP40</x:v>
      </x:c>
      <x:c r="B45" s="5" t="str">
        <x:v>data.import</x:v>
      </x:c>
      <x:c r="C45" s="5" t="n">
        <x:v>1</x:v>
      </x:c>
      <x:c r="D45" s="5" t="str">
        <x:v>PS</x:v>
      </x:c>
      <x:c r="E45" s="5" t="str">
        <x:v>Bounded inert bundle</x:v>
      </x:c>
      <x:c r="F45" s="5" t="str">
        <x:v>Staging/conflicts/commit receipt</x:v>
      </x:c>
      <x:c r="G45" s="5" t="str">
        <x:v>PM01</x:v>
      </x:c>
      <x:c r="H45" s="5" t="str">
        <x:v>local-write</x:v>
      </x:c>
      <x:c r="I45" s="5" t="str">
        <x:v>C1</x:v>
      </x:c>
      <x:c r="J45" s="13" t="str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840659cd2a7f4a3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8000020980835" hidden="0" customWidth="1"/>
    <x:col min="2" max="2" width="21.110000610351562" hidden="0" customWidth="1"/>
    <x:col min="3" max="3" width="7.78000020980835" hidden="0" customWidth="1"/>
    <x:col min="4" max="4" width="37.779998779296875" hidden="0" customWidth="1"/>
    <x:col min="5" max="5" width="45.560001373291016" hidden="0" customWidth="1"/>
    <x:col min="6" max="6" width="7.21999979019165" hidden="0" customWidth="1"/>
  </x:cols>
  <x:sheetData>
    <x:row r="1">
      <x:c r="A1" s="1"/>
      <x:c r="B1" s="1"/>
      <x:c r="C1" s="1"/>
      <x:c r="D1" s="1"/>
      <x:c r="E1" s="1"/>
      <x:c r="F1" s="1"/>
    </x:row>
    <x:row r="2" ht="26" customHeight="1">
      <x:c r="A2" s="2" t="str">
        <x:v>Permissions</x:v>
      </x:c>
      <x:c r="B2" s="1"/>
      <x:c r="C2" s="1"/>
      <x:c r="D2" s="1"/>
      <x:c r="E2" s="1"/>
      <x:c r="F2" s="1"/>
    </x:row>
    <x:row r="3">
      <x:c r="A3" s="3" t="str">
        <x:v>Companion 0.1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0" customHeight="1">
      <x:c r="A5" s="10" t="str">
        <x:v>ID</x:v>
      </x:c>
      <x:c r="B5" s="11" t="str">
        <x:v>Permission</x:v>
      </x:c>
      <x:c r="C5" s="11" t="str">
        <x:v>Owner</x:v>
      </x:c>
      <x:c r="D5" s="11" t="str">
        <x:v>Scope</x:v>
      </x:c>
      <x:c r="E5" s="11" t="str">
        <x:v>Boundary</x:v>
      </x:c>
      <x:c r="F5" s="12" t="str">
        <x:v>Stage</x:v>
      </x:c>
    </x:row>
    <x:row r="6" ht="30" customHeight="1">
      <x:c r="A6" s="5" t="str">
        <x:v>PM01</x:v>
      </x:c>
      <x:c r="B6" s="5" t="str">
        <x:v>package.manage</x:v>
      </x:c>
      <x:c r="C6" s="5" t="str">
        <x:v>PS</x:v>
      </x:c>
      <x:c r="D6" s="5" t="str">
        <x:v>Trusted management UI only</x:v>
      </x:c>
      <x:c r="E6" s="5" t="str">
        <x:v>Install/update/remove selected package</x:v>
      </x:c>
      <x:c r="F6" s="5" t="str">
        <x:v>C1</x:v>
      </x:c>
    </x:row>
    <x:row r="7" ht="30" customHeight="1">
      <x:c r="A7" s="5" t="str">
        <x:v>PM02</x:v>
      </x:c>
      <x:c r="B7" s="5" t="str">
        <x:v>context.read</x:v>
      </x:c>
      <x:c r="C7" s="5" t="str">
        <x:v>PS</x:v>
      </x:c>
      <x:c r="D7" s="5" t="str">
        <x:v>Origin + document + allowed fields</x:v>
      </x:c>
      <x:c r="E7" s="5" t="str">
        <x:v>No full page/field buffer by default</x:v>
      </x:c>
      <x:c r="F7" s="5" t="str">
        <x:v>C1</x:v>
      </x:c>
    </x:row>
    <x:row r="8" ht="30" customHeight="1">
      <x:c r="A8" s="5" t="str">
        <x:v>PM03</x:v>
      </x:c>
      <x:c r="B8" s="5" t="str">
        <x:v>plugin.storage</x:v>
      </x:c>
      <x:c r="C8" s="5" t="str">
        <x:v>PS</x:v>
      </x:c>
      <x:c r="D8" s="5" t="str">
        <x:v>Package namespace + revision</x:v>
      </x:c>
      <x:c r="E8" s="5" t="str">
        <x:v>No other plugin or XtraType repository access</x:v>
      </x:c>
      <x:c r="F8" s="5" t="str">
        <x:v>C1</x:v>
      </x:c>
    </x:row>
    <x:row r="9" ht="30" customHeight="1">
      <x:c r="A9" s="5" t="str">
        <x:v>PM04</x:v>
      </x:c>
      <x:c r="B9" s="5" t="str">
        <x:v>page.script</x:v>
      </x:c>
      <x:c r="C9" s="5" t="str">
        <x:v>SS</x:v>
      </x:c>
      <x:c r="D9" s="5" t="str">
        <x:v>Revision + explicit site patterns</x:v>
      </x:c>
      <x:c r="E9" s="5" t="str">
        <x:v>Shared DOM exposure; no privileged bridge initially</x:v>
      </x:c>
      <x:c r="F9" s="5" t="str">
        <x:v>C2</x:v>
      </x:c>
    </x:row>
    <x:row r="10" ht="30" customHeight="1">
      <x:c r="A10" s="5" t="str">
        <x:v>PM05</x:v>
      </x:c>
      <x:c r="B10" s="5" t="str">
        <x:v>input.observe</x:v>
      </x:c>
      <x:c r="C10" s="5" t="str">
        <x:v>DRY</x:v>
      </x:c>
      <x:c r="D10" s="5" t="str">
        <x:v>Site + field category + consent</x:v>
      </x:c>
      <x:c r="E10" s="5" t="str">
        <x:v>Sensitive exclusions, TTL and pause</x:v>
      </x:c>
      <x:c r="F10" s="5" t="str">
        <x:v>C2</x:v>
      </x:c>
    </x:row>
    <x:row r="11" ht="30" customHeight="1">
      <x:c r="A11" s="5" t="str">
        <x:v>PM06</x:v>
      </x:c>
      <x:c r="B11" s="5" t="str">
        <x:v>input.insert</x:v>
      </x:c>
      <x:c r="C11" s="5" t="str">
        <x:v>DRY</x:v>
      </x:c>
      <x:c r="D11" s="5" t="str">
        <x:v>Current gesture + unchanged target</x:v>
      </x:c>
      <x:c r="E11" s="5" t="str">
        <x:v>No implicit submit/send</x:v>
      </x:c>
      <x:c r="F11" s="5" t="str">
        <x:v>C2</x:v>
      </x:c>
    </x:row>
    <x:row r="12" ht="30" customHeight="1">
      <x:c r="A12" s="5" t="str">
        <x:v>PM07</x:v>
      </x:c>
      <x:c r="B12" s="5" t="str">
        <x:v>xtratype.read</x:v>
      </x:c>
      <x:c r="C12" s="5" t="str">
        <x:v>XT</x:v>
      </x:c>
      <x:c r="D12" s="5" t="str">
        <x:v>Selected local context resource</x:v>
      </x:c>
      <x:c r="E12" s="5" t="str">
        <x:v>No implicit full corpus export</x:v>
      </x:c>
      <x:c r="F12" s="5" t="str">
        <x:v>C3</x:v>
      </x:c>
    </x:row>
    <x:row r="13" ht="30" customHeight="1">
      <x:c r="A13" s="5" t="str">
        <x:v>PM08</x:v>
      </x:c>
      <x:c r="B13" s="5" t="str">
        <x:v>xtratype.draft</x:v>
      </x:c>
      <x:c r="C13" s="5" t="str">
        <x:v>XT</x:v>
      </x:c>
      <x:c r="D13" s="5" t="str">
        <x:v>User-reviewed draft</x:v>
      </x:c>
      <x:c r="E13" s="5" t="str">
        <x:v>Does not authorize commit/publish</x:v>
      </x:c>
      <x:c r="F13" s="5" t="str">
        <x:v>C4</x:v>
      </x:c>
    </x:row>
    <x:row r="14" ht="30" customHeight="1">
      <x:c r="A14" s="5" t="str">
        <x:v>PM09</x:v>
      </x:c>
      <x:c r="B14" s="5" t="str">
        <x:v>xtratype.extend</x:v>
      </x:c>
      <x:c r="C14" s="5" t="str">
        <x:v>XT</x:v>
      </x:c>
      <x:c r="D14" s="5" t="str">
        <x:v>Owned annotation/Object references</x:v>
      </x:c>
      <x:c r="E14" s="5" t="str">
        <x:v>Sidecar validation; no v2 envelope overwrite</x:v>
      </x:c>
      <x:c r="F14" s="5" t="str">
        <x:v>C3</x:v>
      </x:c>
    </x:row>
    <x:row r="15" ht="30" customHeight="1">
      <x:c r="A15" s="5" t="str">
        <x:v>PM10</x:v>
      </x:c>
      <x:c r="B15" s="5" t="str">
        <x:v>publish.compose</x:v>
      </x:c>
      <x:c r="C15" s="5" t="str">
        <x:v>PUB</x:v>
      </x:c>
      <x:c r="D15" s="5" t="str">
        <x:v>Local draft</x:v>
      </x:c>
      <x:c r="E15" s="5" t="str">
        <x:v>No external write</x:v>
      </x:c>
      <x:c r="F15" s="5" t="str">
        <x:v>C3</x:v>
      </x:c>
    </x:row>
    <x:row r="16" ht="30" customHeight="1">
      <x:c r="A16" s="5" t="str">
        <x:v>PM11</x:v>
      </x:c>
      <x:c r="B16" s="5" t="str">
        <x:v>publish.execute</x:v>
      </x:c>
      <x:c r="C16" s="5" t="str">
        <x:v>PUB</x:v>
      </x:c>
      <x:c r="D16" s="5" t="str">
        <x:v>Confirmed plan digest + exact destinations</x:v>
      </x:c>
      <x:c r="E16" s="5" t="str">
        <x:v>Fresh account/context; no uncertain replay</x:v>
      </x:c>
      <x:c r="F16" s="5" t="str">
        <x:v>C3</x:v>
      </x:c>
    </x:row>
    <x:row r="17" ht="30" customHeight="1">
      <x:c r="A17" s="5" t="str">
        <x:v>PM12</x:v>
      </x:c>
      <x:c r="B17" s="5" t="str">
        <x:v>connector.inspect</x:v>
      </x:c>
      <x:c r="C17" s="5" t="str">
        <x:v>EXT</x:v>
      </x:c>
      <x:c r="D17" s="5" t="str">
        <x:v>Selected authorized destination</x:v>
      </x:c>
      <x:c r="E17" s="5" t="str">
        <x:v>No account-wide scraping</x:v>
      </x:c>
      <x:c r="F17" s="5" t="str">
        <x:v>C3</x:v>
      </x:c>
    </x:row>
    <x:row r="18" ht="30" customHeight="1">
      <x:c r="A18" s="5" t="str">
        <x:v>PM13</x:v>
      </x:c>
      <x:c r="B18" s="5" t="str">
        <x:v>routine.run</x:v>
      </x:c>
      <x:c r="C18" s="5" t="str">
        <x:v>DRY</x:v>
      </x:c>
      <x:c r="D18" s="5" t="str">
        <x:v>Reviewed method + current step grants</x:v>
      </x:c>
      <x:c r="E18" s="5" t="str">
        <x:v>25 steps / 120 seconds initial profile</x:v>
      </x:c>
      <x:c r="F18" s="5" t="str">
        <x:v>C4</x:v>
      </x:c>
    </x:row>
    <x:row r="19" ht="30" customHeight="1">
      <x:c r="A19" s="5" t="str">
        <x:v>PM14</x:v>
      </x:c>
      <x:c r="B19" s="5" t="str">
        <x:v>script.bridge</x:v>
      </x:c>
      <x:c r="C19" s="5" t="str">
        <x:v>SS</x:v>
      </x:c>
      <x:c r="D19" s="5" t="str">
        <x:v>Trusted script/revision identity + operation</x:v>
      </x:c>
      <x:c r="E19" s="5" t="str">
        <x:v>Unavailable until identity/isolation acceptance</x:v>
      </x:c>
      <x:c r="F19" s="5" t="str">
        <x:v>C4</x:v>
      </x:c>
    </x:row>
    <x:row r="20" ht="30" customHeight="1">
      <x:c r="A20" s="5" t="str">
        <x:v>PM15</x:v>
      </x:c>
      <x:c r="B20" s="5" t="str">
        <x:v>data.export</x:v>
      </x:c>
      <x:c r="C20" s="5" t="str">
        <x:v>PS</x:v>
      </x:c>
      <x:c r="D20" s="5" t="str">
        <x:v>Explicit selected records/binaries</x:v>
      </x:c>
      <x:c r="E20" s="5" t="str">
        <x:v>No grants, secrets or observation buffers</x:v>
      </x:c>
      <x:c r="F20" s="5" t="str">
        <x:v>C1</x:v>
      </x:c>
    </x:row>
  </x:sheetData>
  <x:pageMargins left="0.7" right="0.7" top="0.75" bottom="0.75" header="0.3" footer="0.3"/>
  <x:tableParts count="1">
    <x:tablePart xmlns:r="http://schemas.openxmlformats.org/officeDocument/2006/relationships" r:id="R445e4af0a19a433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8000020980835" hidden="0" customWidth="1"/>
    <x:col min="2" max="2" width="7.78000020980835" hidden="0" customWidth="1"/>
    <x:col min="3" max="3" width="7.78000020980835" hidden="0" customWidth="1"/>
    <x:col min="4" max="4" width="37.779998779296875" hidden="0" customWidth="1"/>
    <x:col min="5" max="5" width="38.88999938964844" hidden="0" customWidth="1"/>
    <x:col min="6" max="6" width="41.11000061035156" hidden="0" customWidth="1"/>
    <x:col min="7" max="7" width="8.890000343322754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6" customHeight="1">
      <x:c r="A2" s="2" t="str">
        <x:v>Interactions</x:v>
      </x:c>
      <x:c r="B2" s="1"/>
      <x:c r="C2" s="1"/>
      <x:c r="D2" s="1"/>
      <x:c r="E2" s="1"/>
      <x:c r="F2" s="1"/>
      <x:c r="G2" s="1"/>
    </x:row>
    <x:row r="3">
      <x:c r="A3" s="3" t="str">
        <x:v>Companion 0.1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0" customHeight="1">
      <x:c r="A5" s="10" t="str">
        <x:v>ID</x:v>
      </x:c>
      <x:c r="B5" s="11" t="str">
        <x:v>From</x:v>
      </x:c>
      <x:c r="C5" s="11" t="str">
        <x:v>To</x:v>
      </x:c>
      <x:c r="D5" s="11" t="str">
        <x:v>Shared seam</x:v>
      </x:c>
      <x:c r="E5" s="11" t="str">
        <x:v>Operations</x:v>
      </x:c>
      <x:c r="F5" s="11" t="str">
        <x:v>Boundary</x:v>
      </x:c>
      <x:c r="G5" s="12" t="str">
        <x:v>Spec</x:v>
      </x:c>
    </x:row>
    <x:row r="6" ht="30" customHeight="1">
      <x:c r="A6" s="5" t="str">
        <x:v>IX01</x:v>
      </x:c>
      <x:c r="B6" s="5" t="str">
        <x:v>XT</x:v>
      </x:c>
      <x:c r="C6" s="5" t="str">
        <x:v>PS</x:v>
      </x:c>
      <x:c r="D6" s="5" t="str">
        <x:v>Current context and reviewed drafts</x:v>
      </x:c>
      <x:c r="E6" s="5" t="str">
        <x:v>context.capture / xtratype.proposeDraft</x:v>
      </x:c>
      <x:c r="F6" s="5" t="str">
        <x:v>Document generation; user review</x:v>
      </x:c>
      <x:c r="G6" s="13" t="str">
        <x:v>01/04</x:v>
      </x:c>
    </x:row>
    <x:row r="7" ht="30" customHeight="1">
      <x:c r="A7" s="5" t="str">
        <x:v>IX02</x:v>
      </x:c>
      <x:c r="B7" s="5" t="str">
        <x:v>SS</x:v>
      </x:c>
      <x:c r="C7" s="5" t="str">
        <x:v>PS</x:v>
      </x:c>
      <x:c r="D7" s="5" t="str">
        <x:v>Package install and effective registrations</x:v>
      </x:c>
      <x:c r="E7" s="5" t="str">
        <x:v>package.* / script.execute</x:v>
      </x:c>
      <x:c r="F7" s="5" t="str">
        <x:v>Revision and site grants</x:v>
      </x:c>
      <x:c r="G7" s="13" t="str">
        <x:v>02/05</x:v>
      </x:c>
    </x:row>
    <x:row r="8" ht="30" customHeight="1">
      <x:c r="A8" s="5" t="str">
        <x:v>IX03</x:v>
      </x:c>
      <x:c r="B8" s="5" t="str">
        <x:v>DRY</x:v>
      </x:c>
      <x:c r="C8" s="5" t="str">
        <x:v>PS</x:v>
      </x:c>
      <x:c r="D8" s="5" t="str">
        <x:v>Consented observation/insertion</x:v>
      </x:c>
      <x:c r="E8" s="5" t="str">
        <x:v>dry.observe / dry.insert</x:v>
      </x:c>
      <x:c r="F8" s="5" t="str">
        <x:v>Site/field consent; no implicit submit</x:v>
      </x:c>
      <x:c r="G8" s="13" t="str">
        <x:v>06</x:v>
      </x:c>
    </x:row>
    <x:row r="9" ht="30" customHeight="1">
      <x:c r="A9" s="5" t="str">
        <x:v>IX04</x:v>
      </x:c>
      <x:c r="B9" s="5" t="str">
        <x:v>DRY</x:v>
      </x:c>
      <x:c r="C9" s="5" t="str">
        <x:v>SS</x:v>
      </x:c>
      <x:c r="D9" s="5" t="str">
        <x:v>Helper/routine promotion</x:v>
      </x:c>
      <x:c r="E9" s="5" t="str">
        <x:v>dry.promote / script.importDraft</x:v>
      </x:c>
      <x:c r="F9" s="5" t="str">
        <x:v>Draft only; no grant transfer</x:v>
      </x:c>
      <x:c r="G9" s="13" t="str">
        <x:v>05/06</x:v>
      </x:c>
    </x:row>
    <x:row r="10" ht="30" customHeight="1">
      <x:c r="A10" s="5" t="str">
        <x:v>IX05</x:v>
      </x:c>
      <x:c r="B10" s="5" t="str">
        <x:v>DRY</x:v>
      </x:c>
      <x:c r="C10" s="5" t="str">
        <x:v>XT</x:v>
      </x:c>
      <x:c r="D10" s="5" t="str">
        <x:v>Composer assistance</x:v>
      </x:c>
      <x:c r="E10" s="5" t="str">
        <x:v>dry.insert</x:v>
      </x:c>
      <x:c r="F10" s="5" t="str">
        <x:v>Eligible field and current gesture</x:v>
      </x:c>
      <x:c r="G10" s="13" t="str">
        <x:v>04/06</x:v>
      </x:c>
    </x:row>
    <x:row r="11" ht="30" customHeight="1">
      <x:c r="A11" s="5" t="str">
        <x:v>IX06</x:v>
      </x:c>
      <x:c r="B11" s="5" t="str">
        <x:v>DRY</x:v>
      </x:c>
      <x:c r="C11" s="5" t="str">
        <x:v>PUB</x:v>
      </x:c>
      <x:c r="D11" s="5" t="str">
        <x:v>Selected text/presets</x:v>
      </x:c>
      <x:c r="E11" s="5" t="str">
        <x:v>publish.compose</x:v>
      </x:c>
      <x:c r="F11" s="5" t="str">
        <x:v>Draft creation is not posting authority</x:v>
      </x:c>
      <x:c r="G11" s="13" t="str">
        <x:v>06/07</x:v>
      </x:c>
    </x:row>
    <x:row r="12" ht="30" customHeight="1">
      <x:c r="A12" s="5" t="str">
        <x:v>IX07</x:v>
      </x:c>
      <x:c r="B12" s="5" t="str">
        <x:v>PUB</x:v>
      </x:c>
      <x:c r="C12" s="5" t="str">
        <x:v>EXT</x:v>
      </x:c>
      <x:c r="D12" s="5" t="str">
        <x:v>Transform, preview and publish</x:v>
      </x:c>
      <x:c r="E12" s="5" t="str">
        <x:v>connector.*</x:v>
      </x:c>
      <x:c r="F12" s="5" t="str">
        <x:v>Pinned account/plan; fidelity; evidence</x:v>
      </x:c>
      <x:c r="G12" s="13" t="str">
        <x:v>07/08</x:v>
      </x:c>
    </x:row>
    <x:row r="13" ht="30" customHeight="1">
      <x:c r="A13" s="5" t="str">
        <x:v>IX08</x:v>
      </x:c>
      <x:c r="B13" s="5" t="str">
        <x:v>PUB</x:v>
      </x:c>
      <x:c r="C13" s="5" t="str">
        <x:v>XT</x:v>
      </x:c>
      <x:c r="D13" s="5" t="str">
        <x:v>Context on object or representation</x:v>
      </x:c>
      <x:c r="E13" s="5" t="str">
        <x:v>xtratype.relate / xtratype.proposeDraft</x:v>
      </x:c>
      <x:c r="F13" s="5" t="str">
        <x:v>Explicit target scope and selected content</x:v>
      </x:c>
      <x:c r="G13" s="13" t="str">
        <x:v>04/07</x:v>
      </x:c>
    </x:row>
    <x:row r="14" ht="30" customHeight="1">
      <x:c r="A14" s="5" t="str">
        <x:v>IX09</x:v>
      </x:c>
      <x:c r="B14" s="5" t="str">
        <x:v>SS</x:v>
      </x:c>
      <x:c r="C14" s="5" t="str">
        <x:v>XT</x:v>
      </x:c>
      <x:c r="D14" s="5" t="str">
        <x:v>Later typed draft proposal</x:v>
      </x:c>
      <x:c r="E14" s="5" t="str">
        <x:v>xtratype.proposeDraft</x:v>
      </x:c>
      <x:c r="F14" s="5" t="str">
        <x:v>Trusted script identity prerequisite</x:v>
      </x:c>
      <x:c r="G14" s="13" t="str">
        <x:v>04/05</x:v>
      </x:c>
    </x:row>
    <x:row r="15" ht="30" customHeight="1">
      <x:c r="A15" s="5" t="str">
        <x:v>IX10</x:v>
      </x:c>
      <x:c r="B15" s="5" t="str">
        <x:v>SS</x:v>
      </x:c>
      <x:c r="C15" s="5" t="str">
        <x:v>EXT</x:v>
      </x:c>
      <x:c r="D15" s="5" t="str">
        <x:v>Promote tested adapter code</x:v>
      </x:c>
      <x:c r="E15" s="5" t="str">
        <x:v>Package staging</x:v>
      </x:c>
      <x:c r="F15" s="5" t="str">
        <x:v>Privileged code requires host release catalog</x:v>
      </x:c>
      <x:c r="G15" s="13" t="str">
        <x:v>02/05/08</x:v>
      </x:c>
    </x:row>
    <x:row r="16" ht="30" customHeight="1">
      <x:c r="A16" s="5" t="str">
        <x:v>IX11</x:v>
      </x:c>
      <x:c r="B16" s="5" t="str">
        <x:v>UI</x:v>
      </x:c>
      <x:c r="C16" s="5" t="str">
        <x:v>PS</x:v>
      </x:c>
      <x:c r="D16" s="5" t="str">
        <x:v>Local management and inert import/export</x:v>
      </x:c>
      <x:c r="E16" s="5" t="str">
        <x:v>host.describe / package.* / data.*</x:v>
      </x:c>
      <x:c r="F16" s="5" t="str">
        <x:v>Host-local availability; no remote channel</x:v>
      </x:c>
      <x:c r="G16" s="13" t="str">
        <x:v>09/10</x:v>
      </x:c>
    </x:row>
    <x:row r="17" ht="30" customHeight="1">
      <x:c r="A17" s="5" t="str">
        <x:v>IX12</x:v>
      </x:c>
      <x:c r="B17" s="5" t="str">
        <x:v>UI</x:v>
      </x:c>
      <x:c r="C17" s="5" t="str">
        <x:v>PUB</x:v>
      </x:c>
      <x:c r="D17" s="5" t="str">
        <x:v>Local compose/preview/status</x:v>
      </x:c>
      <x:c r="E17" s="5" t="str">
        <x:v>publish.compose / publish.preview</x:v>
      </x:c>
      <x:c r="F17" s="5" t="str">
        <x:v>Execution only where supported locally</x:v>
      </x:c>
      <x:c r="G17" s="13" t="str">
        <x:v>07/09</x:v>
      </x:c>
    </x:row>
    <x:row r="18" ht="30" customHeight="1">
      <x:c r="A18" s="5" t="str">
        <x:v>IX13</x:v>
      </x:c>
      <x:c r="B18" s="5" t="str">
        <x:v>UI</x:v>
      </x:c>
      <x:c r="C18" s="5" t="str">
        <x:v>XT</x:v>
      </x:c>
      <x:c r="D18" s="5" t="str">
        <x:v>Context rendering/local drafts</x:v>
      </x:c>
      <x:c r="E18" s="5" t="str">
        <x:v>xtratype.readContext</x:v>
      </x:c>
      <x:c r="F18" s="5" t="str">
        <x:v>No new private remote feed</x:v>
      </x:c>
      <x:c r="G18" s="13" t="str">
        <x:v>04/09</x:v>
      </x:c>
    </x:row>
    <x:row r="19" ht="30" customHeight="1">
      <x:c r="A19" s="5" t="str">
        <x:v>IX14</x:v>
      </x:c>
      <x:c r="B19" s="5" t="str">
        <x:v>UI</x:v>
      </x:c>
      <x:c r="C19" s="5" t="str">
        <x:v>DRY</x:v>
      </x:c>
      <x:c r="D19" s="5" t="str">
        <x:v>Local template management</x:v>
      </x:c>
      <x:c r="E19" s="5" t="str">
        <x:v>dry.saveTemplate</x:v>
      </x:c>
      <x:c r="F19" s="5" t="str">
        <x:v>No system-wide mobile observation</x:v>
      </x:c>
      <x:c r="G19" s="13" t="str">
        <x:v>06/09</x:v>
      </x:c>
    </x:row>
    <x:row r="20" ht="30" customHeight="1">
      <x:c r="A20" s="5" t="str">
        <x:v>IX15</x:v>
      </x:c>
      <x:c r="B20" s="5" t="str">
        <x:v>UI</x:v>
      </x:c>
      <x:c r="C20" s="5" t="str">
        <x:v>SS</x:v>
      </x:c>
      <x:c r="D20" s="5" t="str">
        <x:v>Inspect source and inactive packages</x:v>
      </x:c>
      <x:c r="E20" s="5" t="str">
        <x:v>package.inspect / script.importDraft</x:v>
      </x:c>
      <x:c r="F20" s="5" t="str">
        <x:v>Imported source stays disabled</x:v>
      </x:c>
      <x:c r="G20" s="13" t="str">
        <x:v>05/09</x:v>
      </x:c>
    </x:row>
    <x:row r="21" ht="30" customHeight="1">
      <x:c r="A21" s="5" t="str">
        <x:v>IX16</x:v>
      </x:c>
      <x:c r="B21" s="5" t="str">
        <x:v>DOC</x:v>
      </x:c>
      <x:c r="C21" s="5" t="str">
        <x:v>PS</x:v>
      </x:c>
      <x:c r="D21" s="5" t="str">
        <x:v>Versioned inventory and implementation evidence</x:v>
      </x:c>
      <x:c r="E21" s="5" t="str">
        <x:v>Registry release</x:v>
      </x:c>
      <x:c r="F21" s="5" t="str">
        <x:v>Planning state never runtime authority</x:v>
      </x:c>
      <x:c r="G21" s="13" t="str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89a9f9789d654a7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8000020980835" hidden="0" customWidth="1"/>
    <x:col min="2" max="2" width="7.78000020980835" hidden="0" customWidth="1"/>
    <x:col min="3" max="3" width="27.219999313354492" hidden="0" customWidth="1"/>
    <x:col min="4" max="4" width="21.110000610351562" hidden="0" customWidth="1"/>
    <x:col min="5" max="5" width="47.779998779296875" hidden="0" customWidth="1"/>
    <x:col min="6" max="6" width="7.21999979019165" hidden="0" customWidth="1"/>
    <x:col min="7" max="7" width="7.21999979019165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6" customHeight="1">
      <x:c r="A2" s="2" t="str">
        <x:v>Surfaces</x:v>
      </x:c>
      <x:c r="B2" s="1"/>
      <x:c r="C2" s="1"/>
      <x:c r="D2" s="1"/>
      <x:c r="E2" s="1"/>
      <x:c r="F2" s="1"/>
      <x:c r="G2" s="1"/>
    </x:row>
    <x:row r="3">
      <x:c r="A3" s="3" t="str">
        <x:v>Companion 0.1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0" customHeight="1">
      <x:c r="A5" s="10" t="str">
        <x:v>ID</x:v>
      </x:c>
      <x:c r="B5" s="11" t="str">
        <x:v>Owner</x:v>
      </x:c>
      <x:c r="C5" s="11" t="str">
        <x:v>Surface</x:v>
      </x:c>
      <x:c r="D5" s="11" t="str">
        <x:v>Host</x:v>
      </x:c>
      <x:c r="E5" s="11" t="str">
        <x:v>Behavior</x:v>
      </x:c>
      <x:c r="F5" s="11" t="str">
        <x:v>Stage</x:v>
      </x:c>
      <x:c r="G5" s="12" t="str">
        <x:v>Spec</x:v>
      </x:c>
    </x:row>
    <x:row r="6" ht="30" customHeight="1">
      <x:c r="A6" s="5" t="str">
        <x:v>SF01</x:v>
      </x:c>
      <x:c r="B6" s="5" t="str">
        <x:v>XT</x:v>
      </x:c>
      <x:c r="C6" s="5" t="str">
        <x:v>XtraType side panel</x:v>
      </x:c>
      <x:c r="D6" s="5" t="str">
        <x:v>Chrome extension</x:v>
      </x:c>
      <x:c r="E6" s="5" t="str">
        <x:v>Primary annotation composer and context</x:v>
      </x:c>
      <x:c r="F6" s="5" t="str">
        <x:v>C0</x:v>
      </x:c>
      <x:c r="G6" s="13" t="str">
        <x:v>04</x:v>
      </x:c>
    </x:row>
    <x:row r="7" ht="30" customHeight="1">
      <x:c r="A7" s="5" t="str">
        <x:v>SF02</x:v>
      </x:c>
      <x:c r="B7" s="5" t="str">
        <x:v>PS</x:v>
      </x:c>
      <x:c r="C7" s="5" t="str">
        <x:v>Plugin manager</x:v>
      </x:c>
      <x:c r="D7" s="5" t="str">
        <x:v>Extension-owned UI</x:v>
      </x:c>
      <x:c r="E7" s="5" t="str">
        <x:v>Install/permissions/effective state</x:v>
      </x:c>
      <x:c r="F7" s="5" t="str">
        <x:v>C1</x:v>
      </x:c>
      <x:c r="G7" s="13" t="str">
        <x:v>02</x:v>
      </x:c>
    </x:row>
    <x:row r="8" ht="30" customHeight="1">
      <x:c r="A8" s="5" t="str">
        <x:v>SF03</x:v>
      </x:c>
      <x:c r="B8" s="5" t="str">
        <x:v>SS</x:v>
      </x:c>
      <x:c r="C8" s="5" t="str">
        <x:v>Script editor/library</x:v>
      </x:c>
      <x:c r="D8" s="5" t="str">
        <x:v>Extension-owned UI</x:v>
      </x:c>
      <x:c r="E8" s="5" t="str">
        <x:v>Source/revisions/fixtures/registration</x:v>
      </x:c>
      <x:c r="F8" s="5" t="str">
        <x:v>C2</x:v>
      </x:c>
      <x:c r="G8" s="13" t="str">
        <x:v>05</x:v>
      </x:c>
    </x:row>
    <x:row r="9" ht="30" customHeight="1">
      <x:c r="A9" s="5" t="str">
        <x:v>SF04</x:v>
      </x:c>
      <x:c r="B9" s="5" t="str">
        <x:v>DRY</x:v>
      </x:c>
      <x:c r="C9" s="5" t="str">
        <x:v>Input assistance</x:v>
      </x:c>
      <x:c r="D9" s="5" t="str">
        <x:v>Authorized browser fields</x:v>
      </x:c>
      <x:c r="E9" s="5" t="str">
        <x:v>Suggestions, variables, insertion and pause</x:v>
      </x:c>
      <x:c r="F9" s="5" t="str">
        <x:v>C2</x:v>
      </x:c>
      <x:c r="G9" s="13" t="str">
        <x:v>06</x:v>
      </x:c>
    </x:row>
    <x:row r="10" ht="30" customHeight="1">
      <x:c r="A10" s="5" t="str">
        <x:v>SF05</x:v>
      </x:c>
      <x:c r="B10" s="5" t="str">
        <x:v>PUB</x:v>
      </x:c>
      <x:c r="C10" s="5" t="str">
        <x:v>Publisher composer/results</x:v>
      </x:c>
      <x:c r="D10" s="5" t="str">
        <x:v>Extension-owned UI</x:v>
      </x:c>
      <x:c r="E10" s="5" t="str">
        <x:v>Destination previews and per-target outcomes</x:v>
      </x:c>
      <x:c r="F10" s="5" t="str">
        <x:v>C3</x:v>
      </x:c>
      <x:c r="G10" s="13" t="str">
        <x:v>07</x:v>
      </x:c>
    </x:row>
    <x:row r="11" ht="30" customHeight="1">
      <x:c r="A11" s="5" t="str">
        <x:v>SF06</x:v>
      </x:c>
      <x:c r="B11" s="5" t="str">
        <x:v>EXT</x:v>
      </x:c>
      <x:c r="C11" s="5" t="str">
        <x:v>Destination configuration</x:v>
      </x:c>
      <x:c r="D11" s="5" t="str">
        <x:v>Host contribution slot</x:v>
      </x:c>
      <x:c r="E11" s="5" t="str">
        <x:v>Platform fields and account status</x:v>
      </x:c>
      <x:c r="F11" s="5" t="str">
        <x:v>C3</x:v>
      </x:c>
      <x:c r="G11" s="13" t="str">
        <x:v>08</x:v>
      </x:c>
    </x:row>
    <x:row r="12" ht="30" customHeight="1">
      <x:c r="A12" s="5" t="str">
        <x:v>SF07</x:v>
      </x:c>
      <x:c r="B12" s="5" t="str">
        <x:v>XT</x:v>
      </x:c>
      <x:c r="C12" s="5" t="str">
        <x:v>Anchored context overlay</x:v>
      </x:c>
      <x:c r="D12" s="5" t="str">
        <x:v>Authorized page</x:v>
      </x:c>
      <x:c r="E12" s="5" t="str">
        <x:v>Local resolved/ambiguous context</x:v>
      </x:c>
      <x:c r="F12" s="5" t="str">
        <x:v>C3</x:v>
      </x:c>
      <x:c r="G12" s="13" t="str">
        <x:v>04</x:v>
      </x:c>
    </x:row>
    <x:row r="13" ht="30" customHeight="1">
      <x:c r="A13" s="5" t="str">
        <x:v>SF08</x:v>
      </x:c>
      <x:c r="B13" s="5" t="str">
        <x:v>UI</x:v>
      </x:c>
      <x:c r="C13" s="5" t="str">
        <x:v>Web local library</x:v>
      </x:c>
      <x:c r="D13" s="5" t="str">
        <x:v>Ordinary web origin</x:v>
      </x:c>
      <x:c r="E13" s="5" t="str">
        <x:v>Inert packages/helpers/drafts and available local operations</x:v>
      </x:c>
      <x:c r="F13" s="5" t="str">
        <x:v>C5</x:v>
      </x:c>
      <x:c r="G13" s="13" t="str">
        <x:v>09</x:v>
      </x:c>
    </x:row>
    <x:row r="14" ht="30" customHeight="1">
      <x:c r="A14" s="5" t="str">
        <x:v>SF09</x:v>
      </x:c>
      <x:c r="B14" s="5" t="str">
        <x:v>UI</x:v>
      </x:c>
      <x:c r="C14" s="5" t="str">
        <x:v>Responsive mobile web</x:v>
      </x:c>
      <x:c r="D14" s="5" t="str">
        <x:v>Mobile browser</x:v>
      </x:c>
      <x:c r="E14" s="5" t="str">
        <x:v>Same local contracts; no extension privilege</x:v>
      </x:c>
      <x:c r="F14" s="5" t="str">
        <x:v>C5</x:v>
      </x:c>
      <x:c r="G14" s="13" t="str">
        <x:v>09</x:v>
      </x:c>
    </x:row>
    <x:row r="15" ht="30" customHeight="1">
      <x:c r="A15" s="5" t="str">
        <x:v>SF10</x:v>
      </x:c>
      <x:c r="B15" s="5" t="str">
        <x:v>UI</x:v>
      </x:c>
      <x:c r="C15" s="5" t="str">
        <x:v>Native local share/capture</x:v>
      </x:c>
      <x:c r="D15" s="5" t="str">
        <x:v>Selected future native host</x:v>
      </x:c>
      <x:c r="E15" s="5" t="str">
        <x:v>Explicit shared content/location/time draft</x:v>
      </x:c>
      <x:c r="F15" s="5" t="str">
        <x:v>C5</x:v>
      </x:c>
      <x:c r="G15" s="13" t="str">
        <x:v>09</x:v>
      </x:c>
    </x:row>
    <x:row r="16" ht="30" customHeight="1">
      <x:c r="A16" s="5" t="str">
        <x:v>SF11</x:v>
      </x:c>
      <x:c r="B16" s="5" t="str">
        <x:v>PS</x:v>
      </x:c>
      <x:c r="C16" s="5" t="str">
        <x:v>Activity/permissions</x:v>
      </x:c>
      <x:c r="D16" s="5" t="str">
        <x:v>Host-local management</x:v>
      </x:c>
      <x:c r="E16" s="5" t="str">
        <x:v>Receipts, errors, grants and local sessions</x:v>
      </x:c>
      <x:c r="F16" s="5" t="str">
        <x:v>C1</x:v>
      </x:c>
      <x:c r="G16" s="13" t="str">
        <x:v>03/09</x:v>
      </x:c>
    </x:row>
    <x:row r="17" ht="30" customHeight="1">
      <x:c r="A17" s="5" t="str">
        <x:v>SF12</x:v>
      </x:c>
      <x:c r="B17" s="5" t="str">
        <x:v>XT</x:v>
      </x:c>
      <x:c r="C17" s="5" t="str">
        <x:v>Existing PHP companion</x:v>
      </x:c>
      <x:c r="D17" s="5" t="str">
        <x:v>Legacy web deployment</x:v>
      </x:c>
      <x:c r="E17" s="5" t="str">
        <x:v>Existing Post/All/Nearby/schemas only</x:v>
      </x:c>
      <x:c r="F17" s="5" t="str">
        <x:v>C0</x:v>
      </x:c>
      <x:c r="G17" s="13" t="str">
        <x:v>09/10</x:v>
      </x:c>
    </x:row>
  </x:sheetData>
  <x:pageMargins left="0.7" right="0.7" top="0.75" bottom="0.75" header="0.3" footer="0.3"/>
  <x:tableParts count="1">
    <x:tablePart xmlns:r="http://schemas.openxmlformats.org/officeDocument/2006/relationships" r:id="Rb73b897772c1456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7.78000020980835" hidden="0" customWidth="1"/>
    <x:col min="2" max="2" width="24.440000534057617" hidden="0" customWidth="1"/>
    <x:col min="3" max="3" width="50" hidden="0" customWidth="1"/>
    <x:col min="4" max="4" width="46.66999816894531" hidden="0" customWidth="1"/>
  </x:cols>
  <x:sheetData>
    <x:row r="1">
      <x:c r="A1" s="1"/>
      <x:c r="B1" s="1"/>
      <x:c r="C1" s="1"/>
      <x:c r="D1" s="1"/>
    </x:row>
    <x:row r="2" ht="26" customHeight="1">
      <x:c r="A2" s="2" t="str">
        <x:v>Stages</x:v>
      </x:c>
      <x:c r="B2" s="1"/>
      <x:c r="C2" s="1"/>
      <x:c r="D2" s="1"/>
    </x:row>
    <x:row r="3">
      <x:c r="A3" s="3" t="str">
        <x:v>Companion 0.1</x:v>
      </x:c>
      <x:c r="B3" s="1"/>
      <x:c r="C3" s="1"/>
      <x:c r="D3" s="1"/>
    </x:row>
    <x:row r="4">
      <x:c r="A4" s="1"/>
      <x:c r="B4" s="1"/>
      <x:c r="C4" s="1"/>
      <x:c r="D4" s="1"/>
    </x:row>
    <x:row r="5" ht="30" customHeight="1">
      <x:c r="A5" s="10" t="str">
        <x:v>ID</x:v>
      </x:c>
      <x:c r="B5" s="11" t="str">
        <x:v>Stage</x:v>
      </x:c>
      <x:c r="C5" s="11" t="str">
        <x:v>Scope</x:v>
      </x:c>
      <x:c r="D5" s="12" t="str">
        <x:v>Exit gate</x:v>
      </x:c>
    </x:row>
    <x:row r="6" ht="30" customHeight="1">
      <x:c r="A6" s="5" t="str">
        <x:v>C0</x:v>
      </x:c>
      <x:c r="B6" s="5" t="str">
        <x:v>Baseline protection</x:v>
      </x:c>
      <x:c r="C6" s="5" t="str">
        <x:v>Existing XtraType safety/integrity prerequisites</x:v>
      </x:c>
      <x:c r="D6" s="5" t="str">
        <x:v>C15 relevant stabilization gates</x:v>
      </x:c>
    </x:row>
    <x:row r="7" ht="30" customHeight="1">
      <x:c r="A7" s="5" t="str">
        <x:v>C1</x:v>
      </x:c>
      <x:c r="B7" s="5" t="str">
        <x:v>Host/package boundary</x:v>
      </x:c>
      <x:c r="C7" s="5" t="str">
        <x:v>Install, grants, local stores, receipts</x:v>
      </x:c>
      <x:c r="D7" s="5" t="str">
        <x:v>Package/isolation/host-unavailable tests</x:v>
      </x:c>
    </x:row>
    <x:row r="8" ht="30" customHeight="1">
      <x:c r="A8" s="5" t="str">
        <x:v>C2</x:v>
      </x:c>
      <x:c r="B8" s="5" t="str">
        <x:v>Local assistance</x:v>
      </x:c>
      <x:c r="C8" s="5" t="str">
        <x:v>Userscripts and consented text helpers</x:v>
      </x:c>
      <x:c r="D8" s="5" t="str">
        <x:v>Site/IME/insertion/registration tests</x:v>
      </x:c>
    </x:row>
    <x:row r="9" ht="30" customHeight="1">
      <x:c r="A9" s="5" t="str">
        <x:v>C3</x:v>
      </x:c>
      <x:c r="B9" s="5" t="str">
        <x:v>Context and publishing</x:v>
      </x:c>
      <x:c r="C9" s="5" t="str">
        <x:v>Anchors, local relations, qualified connectors</x:v>
      </x:c>
      <x:c r="D9" s="5" t="str">
        <x:v>Ambiguity + partial/unknown outcome recovery</x:v>
      </x:c>
    </x:row>
    <x:row r="10" ht="30" customHeight="1">
      <x:c r="A10" s="5" t="str">
        <x:v>C4</x:v>
      </x:c>
      <x:c r="B10" s="5" t="str">
        <x:v>Advanced selected behavior</x:v>
      </x:c>
      <x:c r="C10" s="5" t="str">
        <x:v>Typed bridges, finite routines, promotion</x:v>
      </x:c>
      <x:c r="D10" s="5" t="str">
        <x:v>Identity/isolation/bounds tests</x:v>
      </x:c>
    </x:row>
    <x:row r="11" ht="30" customHeight="1">
      <x:c r="A11" s="5" t="str">
        <x:v>C5</x:v>
      </x:c>
      <x:c r="B11" s="5" t="str">
        <x:v>Additional local clients</x:v>
      </x:c>
      <x:c r="C11" s="5" t="str">
        <x:v>Web/native local management/share</x:v>
      </x:c>
      <x:c r="D11" s="5" t="str">
        <x:v>Inert import and truthful locality</x:v>
      </x:c>
    </x:row>
    <x:row r="12" ht="30" customHeight="1">
      <x:c r="A12" s="5" t="str">
        <x:v>D</x:v>
      </x:c>
      <x:c r="B12" s="5" t="str">
        <x:v>Service deferral</x:v>
      </x:c>
      <x:c r="C12" s="5" t="str">
        <x:v>No new backend/identity/sync implementation</x:v>
      </x:c>
      <x:c r="D12" s="5" t="str">
        <x:v>Requires a new owner-approved service specification</x:v>
      </x:c>
    </x:row>
  </x:sheetData>
  <x:pageMargins left="0.7" right="0.7" top="0.75" bottom="0.75" header="0.3" footer="0.3"/>
  <x:tableParts count="1">
    <x:tablePart xmlns:r="http://schemas.openxmlformats.org/officeDocument/2006/relationships" r:id="R069390e5eac349d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890000343322754" hidden="0" customWidth="1"/>
    <x:col min="2" max="2" width="7.78000020980835" hidden="0" customWidth="1"/>
    <x:col min="3" max="3" width="38.88999938964844" hidden="0" customWidth="1"/>
    <x:col min="4" max="4" width="54.439998626708984" hidden="0" customWidth="1"/>
    <x:col min="5" max="5" width="7.21999979019165" hidden="0" customWidth="1"/>
    <x:col min="6" max="6" width="7.21999979019165" hidden="0" customWidth="1"/>
    <x:col min="7" max="7" width="13.329999923706055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6" customHeight="1">
      <x:c r="A2" s="2" t="str">
        <x:v>Acceptance</x:v>
      </x:c>
      <x:c r="B2" s="1"/>
      <x:c r="C2" s="1"/>
      <x:c r="D2" s="1"/>
      <x:c r="E2" s="1"/>
      <x:c r="F2" s="1"/>
      <x:c r="G2" s="1"/>
    </x:row>
    <x:row r="3">
      <x:c r="A3" s="3" t="str">
        <x:v>Companion 0.1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0" customHeight="1">
      <x:c r="A5" s="10" t="str">
        <x:v>ID</x:v>
      </x:c>
      <x:c r="B5" s="11" t="str">
        <x:v>Owner</x:v>
      </x:c>
      <x:c r="C5" s="11" t="str">
        <x:v>Case</x:v>
      </x:c>
      <x:c r="D5" s="11" t="str">
        <x:v>Expected result</x:v>
      </x:c>
      <x:c r="E5" s="11" t="str">
        <x:v>Stage</x:v>
      </x:c>
      <x:c r="F5" s="11" t="str">
        <x:v>Spec</x:v>
      </x:c>
      <x:c r="G5" s="12" t="str">
        <x:v>Evidence status</x:v>
      </x:c>
    </x:row>
    <x:row r="6" ht="30" customHeight="1">
      <x:c r="A6" s="5" t="str">
        <x:v>AT001</x:v>
      </x:c>
      <x:c r="B6" s="5" t="str">
        <x:v>PS</x:v>
      </x:c>
      <x:c r="C6" s="5" t="str">
        <x:v>Tampered/oversize/traversal package</x:v>
      </x:c>
      <x:c r="D6" s="5" t="str">
        <x:v>Reject without installation or extraction effects</x:v>
      </x:c>
      <x:c r="E6" s="5" t="str">
        <x:v>C1</x:v>
      </x:c>
      <x:c r="F6" s="13" t="str">
        <x:v>02</x:v>
      </x:c>
      <x:c r="G6" s="5" t="str">
        <x:v>Not run</x:v>
      </x:c>
    </x:row>
    <x:row r="7" ht="30" customHeight="1">
      <x:c r="A7" s="5" t="str">
        <x:v>AT002</x:v>
      </x:c>
      <x:c r="B7" s="5" t="str">
        <x:v>PS</x:v>
      </x:c>
      <x:c r="C7" s="5" t="str">
        <x:v>Missing dependency/cycle/host version</x:v>
      </x:c>
      <x:c r="D7" s="5" t="str">
        <x:v>Block only dependent package; retain inspectable source</x:v>
      </x:c>
      <x:c r="E7" s="5" t="str">
        <x:v>C1</x:v>
      </x:c>
      <x:c r="F7" s="13" t="str">
        <x:v>02</x:v>
      </x:c>
      <x:c r="G7" s="5" t="str">
        <x:v>Not run</x:v>
      </x:c>
    </x:row>
    <x:row r="8" ht="30" customHeight="1">
      <x:c r="A8" s="5" t="str">
        <x:v>AT003</x:v>
      </x:c>
      <x:c r="B8" s="5" t="str">
        <x:v>PS</x:v>
      </x:c>
      <x:c r="C8" s="5" t="str">
        <x:v>Imported enabled/grant claims</x:v>
      </x:c>
      <x:c r="D8" s="5" t="str">
        <x:v>Install disabled; reject imported authority</x:v>
      </x:c>
      <x:c r="E8" s="5" t="str">
        <x:v>C1</x:v>
      </x:c>
      <x:c r="F8" s="13" t="str">
        <x:v>02</x:v>
      </x:c>
      <x:c r="G8" s="5" t="str">
        <x:v>Not run</x:v>
      </x:c>
    </x:row>
    <x:row r="9" ht="30" customHeight="1">
      <x:c r="A9" s="5" t="str">
        <x:v>AT004</x:v>
      </x:c>
      <x:c r="B9" s="5" t="str">
        <x:v>PS</x:v>
      </x:c>
      <x:c r="C9" s="5" t="str">
        <x:v>Revision/site authority expansion</x:v>
      </x:c>
      <x:c r="D9" s="5" t="str">
        <x:v>Require review; old grants do not transfer</x:v>
      </x:c>
      <x:c r="E9" s="5" t="str">
        <x:v>C1</x:v>
      </x:c>
      <x:c r="F9" s="13" t="str">
        <x:v>02</x:v>
      </x:c>
      <x:c r="G9" s="5" t="str">
        <x:v>Not run</x:v>
      </x:c>
    </x:row>
    <x:row r="10" ht="30" customHeight="1">
      <x:c r="A10" s="5" t="str">
        <x:v>AT005</x:v>
      </x:c>
      <x:c r="B10" s="5" t="str">
        <x:v>PS</x:v>
      </x:c>
      <x:c r="C10" s="5" t="str">
        <x:v>Plugin namespace impersonation</x:v>
      </x:c>
      <x:c r="D10" s="5" t="str">
        <x:v>Deny foreign storage/operation identity</x:v>
      </x:c>
      <x:c r="E10" s="5" t="str">
        <x:v>C1</x:v>
      </x:c>
      <x:c r="F10" s="13" t="str">
        <x:v>02</x:v>
      </x:c>
      <x:c r="G10" s="5" t="str">
        <x:v>Not run</x:v>
      </x:c>
    </x:row>
    <x:row r="11" ht="30" customHeight="1">
      <x:c r="A11" s="5" t="str">
        <x:v>AT006</x:v>
      </x:c>
      <x:c r="B11" s="5" t="str">
        <x:v>PS</x:v>
      </x:c>
      <x:c r="C11" s="5" t="str">
        <x:v>Disable during active effect</x:v>
      </x:c>
      <x:c r="D11" s="5" t="str">
        <x:v>Stop future dispatch; preserve truthful effect outcome</x:v>
      </x:c>
      <x:c r="E11" s="5" t="str">
        <x:v>C1</x:v>
      </x:c>
      <x:c r="F11" s="13" t="str">
        <x:v>01</x:v>
      </x:c>
      <x:c r="G11" s="5" t="str">
        <x:v>Not run</x:v>
      </x:c>
    </x:row>
    <x:row r="12" ht="30" customHeight="1">
      <x:c r="A12" s="5" t="str">
        <x:v>AT007</x:v>
      </x:c>
      <x:c r="B12" s="5" t="str">
        <x:v>PS</x:v>
      </x:c>
      <x:c r="C12" s="5" t="str">
        <x:v>Host startup/update interruption</x:v>
      </x:c>
      <x:c r="D12" s="5" t="str">
        <x:v>Reconcile actual state before ready</x:v>
      </x:c>
      <x:c r="E12" s="5" t="str">
        <x:v>C1</x:v>
      </x:c>
      <x:c r="F12" s="13" t="str">
        <x:v>01</x:v>
      </x:c>
      <x:c r="G12" s="5" t="str">
        <x:v>Not run</x:v>
      </x:c>
    </x:row>
    <x:row r="13" ht="30" customHeight="1">
      <x:c r="A13" s="5" t="str">
        <x:v>AT008</x:v>
      </x:c>
      <x:c r="B13" s="5" t="str">
        <x:v>XT</x:v>
      </x:c>
      <x:c r="C13" s="5" t="str">
        <x:v>Host unavailable</x:v>
      </x:c>
      <x:c r="D13" s="5" t="str">
        <x:v>Existing annotation read/composer remains available</x:v>
      </x:c>
      <x:c r="E13" s="5" t="str">
        <x:v>C1</x:v>
      </x:c>
      <x:c r="F13" s="13" t="str">
        <x:v>01</x:v>
      </x:c>
      <x:c r="G13" s="5" t="str">
        <x:v>Not run</x:v>
      </x:c>
    </x:row>
    <x:row r="14" ht="30" customHeight="1">
      <x:c r="A14" s="5" t="str">
        <x:v>AT009</x:v>
      </x:c>
      <x:c r="B14" s="5" t="str">
        <x:v>SS</x:v>
      </x:c>
      <x:c r="C14" s="5" t="str">
        <x:v>Valid/invalid userscript metadata</x:v>
      </x:c>
      <x:c r="D14" s="5" t="str">
        <x:v>Supported profile installs; unsupported directives explained</x:v>
      </x:c>
      <x:c r="E14" s="5" t="str">
        <x:v>C2</x:v>
      </x:c>
      <x:c r="F14" s="13" t="str">
        <x:v>05</x:v>
      </x:c>
      <x:c r="G14" s="5" t="str">
        <x:v>Not run</x:v>
      </x:c>
    </x:row>
    <x:row r="15" ht="30" customHeight="1">
      <x:c r="A15" s="5" t="str">
        <x:v>AT010</x:v>
      </x:c>
      <x:c r="B15" s="5" t="str">
        <x:v>SS</x:v>
      </x:c>
      <x:c r="C15" s="5" t="str">
        <x:v>Site grant/revoked toggle</x:v>
      </x:c>
      <x:c r="D15" s="5" t="str">
        <x:v>No unauthorized injection; truthful registration error</x:v>
      </x:c>
      <x:c r="E15" s="5" t="str">
        <x:v>C2</x:v>
      </x:c>
      <x:c r="F15" s="13" t="str">
        <x:v>05</x:v>
      </x:c>
      <x:c r="G15" s="5" t="str">
        <x:v>Not run</x:v>
      </x:c>
    </x:row>
    <x:row r="16" ht="30" customHeight="1">
      <x:c r="A16" s="5" t="str">
        <x:v>AT011</x:v>
      </x:c>
      <x:c r="B16" s="5" t="str">
        <x:v>SS</x:v>
      </x:c>
      <x:c r="C16" s="5" t="str">
        <x:v>Update/restart registration</x:v>
      </x:c>
      <x:c r="D16" s="5" t="str">
        <x:v>Desired and actual state reconciled</x:v>
      </x:c>
      <x:c r="E16" s="5" t="str">
        <x:v>C2</x:v>
      </x:c>
      <x:c r="F16" s="13" t="str">
        <x:v>05</x:v>
      </x:c>
      <x:c r="G16" s="5" t="str">
        <x:v>Not run</x:v>
      </x:c>
    </x:row>
    <x:row r="17" ht="30" customHeight="1">
      <x:c r="A17" s="5" t="str">
        <x:v>AT012</x:v>
      </x:c>
      <x:c r="B17" s="5" t="str">
        <x:v>SS</x:v>
      </x:c>
      <x:c r="C17" s="5" t="str">
        <x:v>Source hash change/rollback</x:v>
      </x:c>
      <x:c r="D17" s="5" t="str">
        <x:v>Fresh revision review; no inherited authority</x:v>
      </x:c>
      <x:c r="E17" s="5" t="str">
        <x:v>C2</x:v>
      </x:c>
      <x:c r="F17" s="13" t="str">
        <x:v>05</x:v>
      </x:c>
      <x:c r="G17" s="5" t="str">
        <x:v>Not run</x:v>
      </x:c>
    </x:row>
    <x:row r="18" ht="30" customHeight="1">
      <x:c r="A18" s="5" t="str">
        <x:v>AT013</x:v>
      </x:c>
      <x:c r="B18" s="5" t="str">
        <x:v>SS</x:v>
      </x:c>
      <x:c r="C18" s="5" t="str">
        <x:v>Fixture requests external effect</x:v>
      </x:c>
      <x:c r="D18" s="5" t="str">
        <x:v>Mock or deny; no live mutation</x:v>
      </x:c>
      <x:c r="E18" s="5" t="str">
        <x:v>C2</x:v>
      </x:c>
      <x:c r="F18" s="13" t="str">
        <x:v>05</x:v>
      </x:c>
      <x:c r="G18" s="5" t="str">
        <x:v>Not run</x:v>
      </x:c>
    </x:row>
    <x:row r="19" ht="30" customHeight="1">
      <x:c r="A19" s="5" t="str">
        <x:v>AT014</x:v>
      </x:c>
      <x:c r="B19" s="5" t="str">
        <x:v>SS</x:v>
      </x:c>
      <x:c r="C19" s="5" t="str">
        <x:v>Cross-script identity spoof</x:v>
      </x:c>
      <x:c r="D19" s="5" t="str">
        <x:v>No privileged call attributed from claimed ID alone</x:v>
      </x:c>
      <x:c r="E19" s="5" t="str">
        <x:v>C4</x:v>
      </x:c>
      <x:c r="F19" s="13" t="str">
        <x:v>05</x:v>
      </x:c>
      <x:c r="G19" s="5" t="str">
        <x:v>Not run</x:v>
      </x:c>
    </x:row>
    <x:row r="20" ht="30" customHeight="1">
      <x:c r="A20" s="5" t="str">
        <x:v>AT015</x:v>
      </x:c>
      <x:c r="B20" s="5" t="str">
        <x:v>SS</x:v>
      </x:c>
      <x:c r="C20" s="5" t="str">
        <x:v>Promotion into privileged plugin</x:v>
      </x:c>
      <x:c r="D20" s="5" t="str">
        <x:v>Requires tested catalog implementation; no eval shortcut</x:v>
      </x:c>
      <x:c r="E20" s="5" t="str">
        <x:v>C4</x:v>
      </x:c>
      <x:c r="F20" s="13" t="str">
        <x:v>05</x:v>
      </x:c>
      <x:c r="G20" s="5" t="str">
        <x:v>Not run</x:v>
      </x:c>
    </x:row>
    <x:row r="21" ht="30" customHeight="1">
      <x:c r="A21" s="5" t="str">
        <x:v>AT016</x:v>
      </x:c>
      <x:c r="B21" s="5" t="str">
        <x:v>DRY</x:v>
      </x:c>
      <x:c r="C21" s="5" t="str">
        <x:v>Consent off/pause/exclusion</x:v>
      </x:c>
      <x:c r="D21" s="5" t="str">
        <x:v>No new observation; explicit evidence deletion honored</x:v>
      </x:c>
      <x:c r="E21" s="5" t="str">
        <x:v>C2</x:v>
      </x:c>
      <x:c r="F21" s="13" t="str">
        <x:v>06</x:v>
      </x:c>
      <x:c r="G21" s="5" t="str">
        <x:v>Not run</x:v>
      </x:c>
    </x:row>
    <x:row r="22" ht="30" customHeight="1">
      <x:c r="A22" s="5" t="str">
        <x:v>AT017</x:v>
      </x:c>
      <x:c r="B22" s="5" t="str">
        <x:v>DRY</x:v>
      </x:c>
      <x:c r="C22" s="5" t="str">
        <x:v>Password/payment/OTP field</x:v>
      </x:c>
      <x:c r="D22" s="5" t="str">
        <x:v>Excluded from capture and pattern input</x:v>
      </x:c>
      <x:c r="E22" s="5" t="str">
        <x:v>C2</x:v>
      </x:c>
      <x:c r="F22" s="13" t="str">
        <x:v>06</x:v>
      </x:c>
      <x:c r="G22" s="5" t="str">
        <x:v>Not run</x:v>
      </x:c>
    </x:row>
    <x:row r="23" ht="30" customHeight="1">
      <x:c r="A23" s="5" t="str">
        <x:v>AT018</x:v>
      </x:c>
      <x:c r="B23" s="5" t="str">
        <x:v>DRY</x:v>
      </x:c>
      <x:c r="C23" s="5" t="str">
        <x:v>IME/Unicode/multiline/cursor</x:v>
      </x:c>
      <x:c r="D23" s="5" t="str">
        <x:v>Composition untouched and preview/insertion accurate</x:v>
      </x:c>
      <x:c r="E23" s="5" t="str">
        <x:v>C2</x:v>
      </x:c>
      <x:c r="F23" s="13" t="str">
        <x:v>06</x:v>
      </x:c>
      <x:c r="G23" s="5" t="str">
        <x:v>Not run</x:v>
      </x:c>
    </x:row>
    <x:row r="24" ht="30" customHeight="1">
      <x:c r="A24" s="5" t="str">
        <x:v>AT019</x:v>
      </x:c>
      <x:c r="B24" s="5" t="str">
        <x:v>DRY</x:v>
      </x:c>
      <x:c r="C24" s="5" t="str">
        <x:v>Stale focus/value/document</x:v>
      </x:c>
      <x:c r="D24" s="5" t="str">
        <x:v>Insertion blocked with preserved draft</x:v>
      </x:c>
      <x:c r="E24" s="5" t="str">
        <x:v>C2</x:v>
      </x:c>
      <x:c r="F24" s="13" t="str">
        <x:v>06</x:v>
      </x:c>
      <x:c r="G24" s="5" t="str">
        <x:v>Not run</x:v>
      </x:c>
    </x:row>
    <x:row r="25" ht="30" customHeight="1">
      <x:c r="A25" s="5" t="str">
        <x:v>AT020</x:v>
      </x:c>
      <x:c r="B25" s="5" t="str">
        <x:v>DRY</x:v>
      </x:c>
      <x:c r="C25" s="5" t="str">
        <x:v>Repeated event debounce/threshold</x:v>
      </x:c>
      <x:c r="D25" s="5" t="str">
        <x:v>Distinct committed uses counted once; threshold exact</x:v>
      </x:c>
      <x:c r="E25" s="5" t="str">
        <x:v>C2</x:v>
      </x:c>
      <x:c r="F25" s="13" t="str">
        <x:v>06</x:v>
      </x:c>
      <x:c r="G25" s="5" t="str">
        <x:v>Not run</x:v>
      </x:c>
    </x:row>
    <x:row r="26" ht="30" customHeight="1">
      <x:c r="A26" s="5" t="str">
        <x:v>AT021</x:v>
      </x:c>
      <x:c r="B26" s="5" t="str">
        <x:v>DRY</x:v>
      </x:c>
      <x:c r="C26" s="5" t="str">
        <x:v>TTL/quota/dismissal</x:v>
      </x:c>
      <x:c r="D26" s="5" t="str">
        <x:v>Evict/suppress predictably with no invisible retention</x:v>
      </x:c>
      <x:c r="E26" s="5" t="str">
        <x:v>C2</x:v>
      </x:c>
      <x:c r="F26" s="13" t="str">
        <x:v>06</x:v>
      </x:c>
      <x:c r="G26" s="5" t="str">
        <x:v>Not run</x:v>
      </x:c>
    </x:row>
    <x:row r="27" ht="30" customHeight="1">
      <x:c r="A27" s="5" t="str">
        <x:v>AT022</x:v>
      </x:c>
      <x:c r="B27" s="5" t="str">
        <x:v>DRY</x:v>
      </x:c>
      <x:c r="C27" s="5" t="str">
        <x:v>Template variables/escaped braces</x:v>
      </x:c>
      <x:c r="D27" s="5" t="str">
        <x:v>Unknown/missing fields block; HTML remains text</x:v>
      </x:c>
      <x:c r="E27" s="5" t="str">
        <x:v>C2</x:v>
      </x:c>
      <x:c r="F27" s="13" t="str">
        <x:v>06</x:v>
      </x:c>
      <x:c r="G27" s="5" t="str">
        <x:v>Not run</x:v>
      </x:c>
    </x:row>
    <x:row r="28" ht="30" customHeight="1">
      <x:c r="A28" s="5" t="str">
        <x:v>AT023</x:v>
      </x:c>
      <x:c r="B28" s="5" t="str">
        <x:v>DRY</x:v>
      </x:c>
      <x:c r="C28" s="5" t="str">
        <x:v>Helper insertion</x:v>
      </x:c>
      <x:c r="D28" s="5" t="str">
        <x:v>No form submit, Send click or publish</x:v>
      </x:c>
      <x:c r="E28" s="5" t="str">
        <x:v>C2</x:v>
      </x:c>
      <x:c r="F28" s="13" t="str">
        <x:v>06</x:v>
      </x:c>
      <x:c r="G28" s="5" t="str">
        <x:v>Not run</x:v>
      </x:c>
    </x:row>
    <x:row r="29" ht="30" customHeight="1">
      <x:c r="A29" s="5" t="str">
        <x:v>AT024</x:v>
      </x:c>
      <x:c r="B29" s="5" t="str">
        <x:v>DRY</x:v>
      </x:c>
      <x:c r="C29" s="5" t="str">
        <x:v>Finite routine bounds/restart</x:v>
      </x:c>
      <x:c r="D29" s="5" t="str">
        <x:v>Stop or pause; no unsafe replay after unknown effect</x:v>
      </x:c>
      <x:c r="E29" s="5" t="str">
        <x:v>C4</x:v>
      </x:c>
      <x:c r="F29" s="13" t="str">
        <x:v>06</x:v>
      </x:c>
      <x:c r="G29" s="5" t="str">
        <x:v>Not run</x:v>
      </x:c>
    </x:row>
    <x:row r="30" ht="30" customHeight="1">
      <x:c r="A30" s="5" t="str">
        <x:v>AT025</x:v>
      </x:c>
      <x:c r="B30" s="5" t="str">
        <x:v>XT</x:v>
      </x:c>
      <x:c r="C30" s="5" t="str">
        <x:v>Legacy record families/keys/media</x:v>
      </x:c>
      <x:c r="D30" s="5" t="str">
        <x:v>Readability and current envelope preserved</x:v>
      </x:c>
      <x:c r="E30" s="5" t="str">
        <x:v>C0</x:v>
      </x:c>
      <x:c r="F30" s="13" t="str">
        <x:v>04</x:v>
      </x:c>
      <x:c r="G30" s="5" t="str">
        <x:v>Not run</x:v>
      </x:c>
    </x:row>
    <x:row r="31" ht="30" customHeight="1">
      <x:c r="A31" s="5" t="str">
        <x:v>AT026</x:v>
      </x:c>
      <x:c r="B31" s="5" t="str">
        <x:v>XT</x:v>
      </x:c>
      <x:c r="C31" s="5" t="str">
        <x:v>Duplicate/moved/deleted text</x:v>
      </x:c>
      <x:c r="D31" s="5" t="str">
        <x:v>Resolve uniquely or show ambiguity/missing</x:v>
      </x:c>
      <x:c r="E31" s="5" t="str">
        <x:v>C3</x:v>
      </x:c>
      <x:c r="F31" s="13" t="str">
        <x:v>04</x:v>
      </x:c>
      <x:c r="G31" s="5" t="str">
        <x:v>Not run</x:v>
      </x:c>
    </x:row>
    <x:row r="32" ht="30" customHeight="1">
      <x:c r="A32" s="5" t="str">
        <x:v>AT027</x:v>
      </x:c>
      <x:c r="B32" s="5" t="str">
        <x:v>XT</x:v>
      </x:c>
      <x:c r="C32" s="5" t="str">
        <x:v>SPA/owned DOM mutation</x:v>
      </x:c>
      <x:c r="D32" s="5" t="str">
        <x:v>No feedback loop; stale async result discarded</x:v>
      </x:c>
      <x:c r="E32" s="5" t="str">
        <x:v>C3</x:v>
      </x:c>
      <x:c r="F32" s="13" t="str">
        <x:v>04</x:v>
      </x:c>
      <x:c r="G32" s="5" t="str">
        <x:v>Not run</x:v>
      </x:c>
    </x:row>
    <x:row r="33" ht="30" customHeight="1">
      <x:c r="A33" s="5" t="str">
        <x:v>AT028</x:v>
      </x:c>
      <x:c r="B33" s="5" t="str">
        <x:v>XT</x:v>
      </x:c>
      <x:c r="C33" s="5" t="str">
        <x:v>Sidecar write fails after note commit</x:v>
      </x:c>
      <x:c r="D33" s="5" t="str">
        <x:v>Note survives; extension pending/recoverable</x:v>
      </x:c>
      <x:c r="E33" s="5" t="str">
        <x:v>C3</x:v>
      </x:c>
      <x:c r="F33" s="13" t="str">
        <x:v>04</x:v>
      </x:c>
      <x:c r="G33" s="5" t="str">
        <x:v>Not run</x:v>
      </x:c>
    </x:row>
    <x:row r="34" ht="30" customHeight="1">
      <x:c r="A34" s="5" t="str">
        <x:v>AT029</x:v>
      </x:c>
      <x:c r="B34" s="5" t="str">
        <x:v>XT</x:v>
      </x:c>
      <x:c r="C34" s="5" t="str">
        <x:v>Supersession cycle/missing parent</x:v>
      </x:c>
      <x:c r="D34" s="5" t="str">
        <x:v>Reject cycle; orphan context visible</x:v>
      </x:c>
      <x:c r="E34" s="5" t="str">
        <x:v>C3</x:v>
      </x:c>
      <x:c r="F34" s="13" t="str">
        <x:v>04</x:v>
      </x:c>
      <x:c r="G34" s="5" t="str">
        <x:v>Not run</x:v>
      </x:c>
    </x:row>
    <x:row r="35" ht="30" customHeight="1">
      <x:c r="A35" s="5" t="str">
        <x:v>AT030</x:v>
      </x:c>
      <x:c r="B35" s="5" t="str">
        <x:v>XT</x:v>
      </x:c>
      <x:c r="C35" s="5" t="str">
        <x:v>Shared-mode request</x:v>
      </x:c>
      <x:c r="D35" s="5" t="str">
        <x:v>Blocked until authority services exist</x:v>
      </x:c>
      <x:c r="E35" s="5" t="str">
        <x:v>C3</x:v>
      </x:c>
      <x:c r="F35" s="13" t="str">
        <x:v>04</x:v>
      </x:c>
      <x:c r="G35" s="5" t="str">
        <x:v>Not run</x:v>
      </x:c>
    </x:row>
    <x:row r="36" ht="30" customHeight="1">
      <x:c r="A36" s="5" t="str">
        <x:v>AT031</x:v>
      </x:c>
      <x:c r="B36" s="5" t="str">
        <x:v>PUB</x:v>
      </x:c>
      <x:c r="C36" s="5" t="str">
        <x:v>Required field/fidelity/media loss</x:v>
      </x:c>
      <x:c r="D36" s="5" t="str">
        <x:v>Preview blocks or requires explicit acknowledgement</x:v>
      </x:c>
      <x:c r="E36" s="5" t="str">
        <x:v>C3</x:v>
      </x:c>
      <x:c r="F36" s="13" t="str">
        <x:v>07</x:v>
      </x:c>
      <x:c r="G36" s="5" t="str">
        <x:v>Not run</x:v>
      </x:c>
    </x:row>
    <x:row r="37" ht="30" customHeight="1">
      <x:c r="A37" s="5" t="str">
        <x:v>AT032</x:v>
      </x:c>
      <x:c r="B37" s="5" t="str">
        <x:v>PUB</x:v>
      </x:c>
      <x:c r="C37" s="5" t="str">
        <x:v>Changed content/account/revision after preview</x:v>
      </x:c>
      <x:c r="D37" s="5" t="str">
        <x:v>Invalidate plan confirmation</x:v>
      </x:c>
      <x:c r="E37" s="5" t="str">
        <x:v>C3</x:v>
      </x:c>
      <x:c r="F37" s="13" t="str">
        <x:v>07</x:v>
      </x:c>
      <x:c r="G37" s="5" t="str">
        <x:v>Not run</x:v>
      </x:c>
    </x:row>
    <x:row r="38" ht="30" customHeight="1">
      <x:c r="A38" s="5" t="str">
        <x:v>AT033</x:v>
      </x:c>
      <x:c r="B38" s="5" t="str">
        <x:v>PUB</x:v>
      </x:c>
      <x:c r="C38" s="5" t="str">
        <x:v>Two real targets and two stubs</x:v>
      </x:c>
      <x:c r="D38" s="5" t="str">
        <x:v>Live evidence separate; stubs clearly labeled</x:v>
      </x:c>
      <x:c r="E38" s="5" t="str">
        <x:v>C3</x:v>
      </x:c>
      <x:c r="F38" s="13" t="str">
        <x:v>07</x:v>
      </x:c>
      <x:c r="G38" s="5" t="str">
        <x:v>Not run</x:v>
      </x:c>
    </x:row>
    <x:row r="39" ht="30" customHeight="1">
      <x:c r="A39" s="5" t="str">
        <x:v>AT034</x:v>
      </x:c>
      <x:c r="B39" s="5" t="str">
        <x:v>PUB</x:v>
      </x:c>
      <x:c r="C39" s="5" t="str">
        <x:v>Partial success/cancel</x:v>
      </x:c>
      <x:c r="D39" s="5" t="str">
        <x:v>Retain successes; stop pending only</x:v>
      </x:c>
      <x:c r="E39" s="5" t="str">
        <x:v>C3</x:v>
      </x:c>
      <x:c r="F39" s="13" t="str">
        <x:v>07</x:v>
      </x:c>
      <x:c r="G39" s="5" t="str">
        <x:v>Not run</x:v>
      </x:c>
    </x:row>
    <x:row r="40" ht="30" customHeight="1">
      <x:c r="A40" s="5" t="str">
        <x:v>AT035</x:v>
      </x:c>
      <x:c r="B40" s="5" t="str">
        <x:v>PUB</x:v>
      </x:c>
      <x:c r="C40" s="5" t="str">
        <x:v>Lost response/unknown outcome</x:v>
      </x:c>
      <x:c r="D40" s="5" t="str">
        <x:v>Require reconciliation; no blind retry</x:v>
      </x:c>
      <x:c r="E40" s="5" t="str">
        <x:v>C3</x:v>
      </x:c>
      <x:c r="F40" s="13" t="str">
        <x:v>07</x:v>
      </x:c>
      <x:c r="G40" s="5" t="str">
        <x:v>Not run</x:v>
      </x:c>
    </x:row>
    <x:row r="41" ht="30" customHeight="1">
      <x:c r="A41" s="5" t="str">
        <x:v>AT036</x:v>
      </x:c>
      <x:c r="B41" s="5" t="str">
        <x:v>PUB</x:v>
      </x:c>
      <x:c r="C41" s="5" t="str">
        <x:v>Retry failed subset</x:v>
      </x:c>
      <x:c r="D41" s="5" t="str">
        <x:v>Never duplicate successful destinations</x:v>
      </x:c>
      <x:c r="E41" s="5" t="str">
        <x:v>C3</x:v>
      </x:c>
      <x:c r="F41" s="13" t="str">
        <x:v>07</x:v>
      </x:c>
      <x:c r="G41" s="5" t="str">
        <x:v>Not run</x:v>
      </x:c>
    </x:row>
    <x:row r="42" ht="30" customHeight="1">
      <x:c r="A42" s="5" t="str">
        <x:v>AT037</x:v>
      </x:c>
      <x:c r="B42" s="5" t="str">
        <x:v>PUB</x:v>
      </x:c>
      <x:c r="C42" s="5" t="str">
        <x:v>Object versus replica annotation</x:v>
      </x:c>
      <x:c r="D42" s="5" t="str">
        <x:v>Explicit scope; no unwanted external post edit</x:v>
      </x:c>
      <x:c r="E42" s="5" t="str">
        <x:v>C3</x:v>
      </x:c>
      <x:c r="F42" s="13" t="str">
        <x:v>07</x:v>
      </x:c>
      <x:c r="G42" s="5" t="str">
        <x:v>Not run</x:v>
      </x:c>
    </x:row>
    <x:row r="43" ht="30" customHeight="1">
      <x:c r="A43" s="5" t="str">
        <x:v>AT038</x:v>
      </x:c>
      <x:c r="B43" s="5" t="str">
        <x:v>EXT</x:v>
      </x:c>
      <x:c r="C43" s="5" t="str">
        <x:v>Wrong/expired account</x:v>
      </x:c>
      <x:c r="D43" s="5" t="str">
        <x:v>AUTH_REQUIRED before effect</x:v>
      </x:c>
      <x:c r="E43" s="5" t="str">
        <x:v>C3</x:v>
      </x:c>
      <x:c r="F43" s="13" t="str">
        <x:v>08</x:v>
      </x:c>
      <x:c r="G43" s="5" t="str">
        <x:v>Not run</x:v>
      </x:c>
    </x:row>
    <x:row r="44" ht="30" customHeight="1">
      <x:c r="A44" s="5" t="str">
        <x:v>AT039</x:v>
      </x:c>
      <x:c r="B44" s="5" t="str">
        <x:v>EXT</x:v>
      </x:c>
      <x:c r="C44" s="5" t="str">
        <x:v>Selector drift/ambiguous confirmation</x:v>
      </x:c>
      <x:c r="D44" s="5" t="str">
        <x:v>Blocked or unknown, never fabricated success</x:v>
      </x:c>
      <x:c r="E44" s="5" t="str">
        <x:v>C3</x:v>
      </x:c>
      <x:c r="F44" s="13" t="str">
        <x:v>08</x:v>
      </x:c>
      <x:c r="G44" s="5" t="str">
        <x:v>Not run</x:v>
      </x:c>
    </x:row>
    <x:row r="45" ht="30" customHeight="1">
      <x:c r="A45" s="5" t="str">
        <x:v>AT040</x:v>
      </x:c>
      <x:c r="B45" s="5" t="str">
        <x:v>EXT</x:v>
      </x:c>
      <x:c r="C45" s="5" t="str">
        <x:v>Unsupported update/delete/locality</x:v>
      </x:c>
      <x:c r="D45" s="5" t="str">
        <x:v>Operation absent/unavailable; no no-op success</x:v>
      </x:c>
      <x:c r="E45" s="5" t="str">
        <x:v>C3</x:v>
      </x:c>
      <x:c r="F45" s="13" t="str">
        <x:v>08</x:v>
      </x:c>
      <x:c r="G45" s="5" t="str">
        <x:v>Not run</x:v>
      </x:c>
    </x:row>
    <x:row r="46" ht="30" customHeight="1">
      <x:c r="A46" s="5" t="str">
        <x:v>AT041</x:v>
      </x:c>
      <x:c r="B46" s="5" t="str">
        <x:v>EXT</x:v>
      </x:c>
      <x:c r="C46" s="5" t="str">
        <x:v>Secrets/logs/exports</x:v>
      </x:c>
      <x:c r="D46" s="5" t="str">
        <x:v>No cookies/tokens/secret payload leakage</x:v>
      </x:c>
      <x:c r="E46" s="5" t="str">
        <x:v>C3</x:v>
      </x:c>
      <x:c r="F46" s="13" t="str">
        <x:v>08</x:v>
      </x:c>
      <x:c r="G46" s="5" t="str">
        <x:v>Not run</x:v>
      </x:c>
    </x:row>
    <x:row r="47" ht="30" customHeight="1">
      <x:c r="A47" s="5" t="str">
        <x:v>AT042</x:v>
      </x:c>
      <x:c r="B47" s="5" t="str">
        <x:v>EXT</x:v>
      </x:c>
      <x:c r="C47" s="5" t="str">
        <x:v>Platform rate limit</x:v>
      </x:c>
      <x:c r="D47" s="5" t="str">
        <x:v>Respect provider response; bounded safe retry only</x:v>
      </x:c>
      <x:c r="E47" s="5" t="str">
        <x:v>C3</x:v>
      </x:c>
      <x:c r="F47" s="13" t="str">
        <x:v>08</x:v>
      </x:c>
      <x:c r="G47" s="5" t="str">
        <x:v>Not run</x:v>
      </x:c>
    </x:row>
    <x:row r="48" ht="30" customHeight="1">
      <x:c r="A48" s="5" t="str">
        <x:v>AT043</x:v>
      </x:c>
      <x:c r="B48" s="5" t="str">
        <x:v>UI</x:v>
      </x:c>
      <x:c r="C48" s="5" t="str">
        <x:v>Unsupported host and imported script</x:v>
      </x:c>
      <x:c r="D48" s="5" t="str">
        <x:v>Metadata usable; execution unavailable/disabled</x:v>
      </x:c>
      <x:c r="E48" s="5" t="str">
        <x:v>C5</x:v>
      </x:c>
      <x:c r="F48" s="13" t="str">
        <x:v>09</x:v>
      </x:c>
      <x:c r="G48" s="5" t="str">
        <x:v>Not run</x:v>
      </x:c>
    </x:row>
    <x:row r="49" ht="30" customHeight="1">
      <x:c r="A49" s="5" t="str">
        <x:v>AT044</x:v>
      </x:c>
      <x:c r="B49" s="5" t="str">
        <x:v>UI</x:v>
      </x:c>
      <x:c r="C49" s="5" t="str">
        <x:v>Mobile narrow layout/keyboard</x:v>
      </x:c>
      <x:c r="D49" s="5" t="str">
        <x:v>Readable controls, focus and announcements</x:v>
      </x:c>
      <x:c r="E49" s="5" t="str">
        <x:v>C5</x:v>
      </x:c>
      <x:c r="F49" s="13" t="str">
        <x:v>09</x:v>
      </x:c>
      <x:c r="G49" s="5" t="str">
        <x:v>Not run</x:v>
      </x:c>
    </x:row>
    <x:row r="50" ht="30" customHeight="1">
      <x:c r="A50" s="5" t="str">
        <x:v>AT045</x:v>
      </x:c>
      <x:c r="B50" s="5" t="str">
        <x:v>UI</x:v>
      </x:c>
      <x:c r="C50" s="5" t="str">
        <x:v>Draft handoff across local hosts</x:v>
      </x:c>
      <x:c r="D50" s="5" t="str">
        <x:v>Fresh destinations/grants/confirmation required</x:v>
      </x:c>
      <x:c r="E50" s="5" t="str">
        <x:v>C5</x:v>
      </x:c>
      <x:c r="F50" s="13" t="str">
        <x:v>09</x:v>
      </x:c>
      <x:c r="G50" s="5" t="str">
        <x:v>Not run</x:v>
      </x:c>
    </x:row>
    <x:row r="51" ht="30" customHeight="1">
      <x:c r="A51" s="5" t="str">
        <x:v>AT046</x:v>
      </x:c>
      <x:c r="B51" s="5" t="str">
        <x:v>UI</x:v>
      </x:c>
      <x:c r="C51" s="5" t="str">
        <x:v>Legacy feed versus local-only records</x:v>
      </x:c>
      <x:c r="D51" s="5" t="str">
        <x:v>No automatic upload or false remote privacy</x:v>
      </x:c>
      <x:c r="E51" s="5" t="str">
        <x:v>C5</x:v>
      </x:c>
      <x:c r="F51" s="13" t="str">
        <x:v>09</x:v>
      </x:c>
      <x:c r="G51" s="5" t="str">
        <x:v>Not run</x:v>
      </x:c>
    </x:row>
    <x:row r="52" ht="30" customHeight="1">
      <x:c r="A52" s="5" t="str">
        <x:v>AT047</x:v>
      </x:c>
      <x:c r="B52" s="5" t="str">
        <x:v>PS</x:v>
      </x:c>
      <x:c r="C52" s="5" t="str">
        <x:v>Backup/restore binary/hash/ref integrity</x:v>
      </x:c>
      <x:c r="D52" s="5" t="str">
        <x:v>Restore complete selected records; conflicts explicit</x:v>
      </x:c>
      <x:c r="E52" s="5" t="str">
        <x:v>C1</x:v>
      </x:c>
      <x:c r="F52" s="13" t="str">
        <x:v>10</x:v>
      </x:c>
      <x:c r="G52" s="5" t="str">
        <x:v>Not run</x:v>
      </x:c>
    </x:row>
    <x:row r="53" ht="30" customHeight="1">
      <x:c r="A53" s="5" t="str">
        <x:v>AT048</x:v>
      </x:c>
      <x:c r="B53" s="5" t="str">
        <x:v>PS</x:v>
      </x:c>
      <x:c r="C53" s="5" t="str">
        <x:v>Quota before/after external effect</x:v>
      </x:c>
      <x:c r="D53" s="5" t="str">
        <x:v>Block before or enter explicit recovery after</x:v>
      </x:c>
      <x:c r="E53" s="5" t="str">
        <x:v>C1</x:v>
      </x:c>
      <x:c r="F53" s="13" t="str">
        <x:v>10</x:v>
      </x:c>
      <x:c r="G53" s="5" t="str">
        <x:v>Not run</x:v>
      </x:c>
    </x:row>
    <x:row r="54" ht="30" customHeight="1">
      <x:c r="A54" s="5" t="str">
        <x:v>AT049</x:v>
      </x:c>
      <x:c r="B54" s="5" t="str">
        <x:v>PS</x:v>
      </x:c>
      <x:c r="C54" s="5" t="str">
        <x:v>Event retention gap</x:v>
      </x:c>
      <x:c r="D54" s="5" t="str">
        <x:v>Consumer refreshes owning records</x:v>
      </x:c>
      <x:c r="E54" s="5" t="str">
        <x:v>C1</x:v>
      </x:c>
      <x:c r="F54" s="13" t="str">
        <x:v>03</x:v>
      </x:c>
      <x:c r="G54" s="5" t="str">
        <x:v>Not run</x:v>
      </x:c>
    </x:row>
    <x:row r="55" ht="30" customHeight="1">
      <x:c r="A55" s="5" t="str">
        <x:v>AT050</x:v>
      </x:c>
      <x:c r="B55" s="5" t="str">
        <x:v>PS</x:v>
      </x:c>
      <x:c r="C55" s="5" t="str">
        <x:v>Plugin removal/reference retention</x:v>
      </x:c>
      <x:c r="D55" s="5" t="str">
        <x:v>No unrelated note or external post deletion</x:v>
      </x:c>
      <x:c r="E55" s="5" t="str">
        <x:v>C1</x:v>
      </x:c>
      <x:c r="F55" s="13" t="str">
        <x:v>10</x:v>
      </x:c>
      <x:c r="G55" s="5" t="str">
        <x:v>Not run</x:v>
      </x:c>
    </x:row>
    <x:row r="56" ht="30" customHeight="1">
      <x:c r="A56" s="5" t="str">
        <x:v>AT051</x:v>
      </x:c>
      <x:c r="B56" s="5" t="str">
        <x:v>DOC</x:v>
      </x:c>
      <x:c r="C56" s="5" t="str">
        <x:v>Registry foreign IDs and schema examples</x:v>
      </x:c>
      <x:c r="D56" s="5" t="str">
        <x:v>All selected refs valid; status evidence truthful</x:v>
      </x:c>
      <x:c r="E56" s="5" t="str">
        <x:v>C1</x:v>
      </x:c>
      <x:c r="F56" s="13" t="str">
        <x:v>12</x:v>
      </x:c>
      <x:c r="G56" s="5" t="str">
        <x:v>Not run</x:v>
      </x:c>
    </x:row>
    <x:row r="57" ht="30" customHeight="1">
      <x:c r="A57" s="5" t="str">
        <x:v>AT052</x:v>
      </x:c>
      <x:c r="B57" s="5" t="str">
        <x:v>DOC</x:v>
      </x:c>
      <x:c r="C57" s="5" t="str">
        <x:v>Excluded/deferred dependency regression</x:v>
      </x:c>
      <x:c r="D57" s="5" t="str">
        <x:v>No active omitted module/service dependency</x:v>
      </x:c>
      <x:c r="E57" s="5" t="str">
        <x:v>C1</x:v>
      </x:c>
      <x:c r="F57" s="13" t="str">
        <x:v>12</x:v>
      </x:c>
      <x:c r="G57" s="5" t="str">
        <x:v>Not run</x:v>
      </x:c>
    </x:row>
  </x:sheetData>
  <x:pageMargins left="0.7" right="0.7" top="0.75" bottom="0.75" header="0.3" footer="0.3"/>
  <x:tableParts count="1">
    <x:tablePart xmlns:r="http://schemas.openxmlformats.org/officeDocument/2006/relationships" r:id="R205ef3fd72e3460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1.109999656677246" hidden="0" customWidth="1"/>
    <x:col min="3" max="3" width="51.11000061035156" hidden="0" customWidth="1"/>
    <x:col min="4" max="4" width="51.11000061035156" hidden="0" customWidth="1"/>
    <x:col min="5" max="5" width="8.890000343322754" hidden="0" customWidth="1"/>
  </x:cols>
  <x:sheetData>
    <x:row r="1">
      <x:c r="A1" s="1"/>
      <x:c r="B1" s="1"/>
      <x:c r="C1" s="1"/>
      <x:c r="D1" s="1"/>
      <x:c r="E1" s="1"/>
    </x:row>
    <x:row r="2" ht="26" customHeight="1">
      <x:c r="A2" s="2" t="str">
        <x:v>Decisions</x:v>
      </x:c>
      <x:c r="B2" s="1"/>
      <x:c r="C2" s="1"/>
      <x:c r="D2" s="1"/>
      <x:c r="E2" s="1"/>
    </x:row>
    <x:row r="3">
      <x:c r="A3" s="3" t="str">
        <x:v>Companion 0.1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0" customHeight="1">
      <x:c r="A5" s="10" t="str">
        <x:v>ID</x:v>
      </x:c>
      <x:c r="B5" s="11" t="str">
        <x:v>Authority</x:v>
      </x:c>
      <x:c r="C5" s="11" t="str">
        <x:v>Decision</x:v>
      </x:c>
      <x:c r="D5" s="11" t="str">
        <x:v>Consequence</x:v>
      </x:c>
      <x:c r="E5" s="12" t="str">
        <x:v>Spec</x:v>
      </x:c>
    </x:row>
    <x:row r="6" ht="30" customHeight="1">
      <x:c r="A6" s="5" t="str">
        <x:v>DEC-01</x:v>
      </x:c>
      <x:c r="B6" s="5" t="str">
        <x:v>USER</x:v>
      </x:c>
      <x:c r="C6" s="5" t="str">
        <x:v>PortaShape is the wraparound plugin service</x:v>
      </x:c>
      <x:c r="D6" s="5" t="str">
        <x:v>Supersedes target interpretation of old ADR-002</x:v>
      </x:c>
      <x:c r="E6" s="13" t="str">
        <x:v>01</x:v>
      </x:c>
    </x:row>
    <x:row r="7" ht="30" customHeight="1">
      <x:c r="A7" s="5" t="str">
        <x:v>DEC-02</x:v>
      </x:c>
      <x:c r="B7" s="5" t="str">
        <x:v>DESIGN</x:v>
      </x:c>
      <x:c r="C7" s="5" t="str">
        <x:v>Embed first host in existing extension distribution</x:v>
      </x:c>
      <x:c r="D7" s="5" t="str">
        <x:v>No assumed daemon/remote service; replaceable deployment ADR</x:v>
      </x:c>
      <x:c r="E7" s="13" t="str">
        <x:v>01</x:v>
      </x:c>
    </x:row>
    <x:row r="8" ht="30" customHeight="1">
      <x:c r="A8" s="5" t="str">
        <x:v>DEC-03</x:v>
      </x:c>
      <x:c r="B8" s="5" t="str">
        <x:v>DESIGN</x:v>
      </x:c>
      <x:c r="C8" s="5" t="str">
        <x:v>Privileged module/connector code in host release catalog</x:v>
      </x:c>
      <x:c r="D8" s="5" t="str">
        <x:v>Users install package state; no arbitrary worker code import</x:v>
      </x:c>
      <x:c r="E8" s="13" t="str">
        <x:v>02</x:v>
      </x:c>
    </x:row>
    <x:row r="9" ht="30" customHeight="1">
      <x:c r="A9" s="5" t="str">
        <x:v>DEC-04</x:v>
      </x:c>
      <x:c r="B9" s="5" t="str">
        <x:v>INHERITED</x:v>
      </x:c>
      <x:c r="C9" s="5" t="str">
        <x:v>Imports never transfer execution grants</x:v>
      </x:c>
      <x:c r="D9" s="5" t="str">
        <x:v>Device-local authority and review</x:v>
      </x:c>
      <x:c r="E9" s="13" t="str">
        <x:v>02</x:v>
      </x:c>
    </x:row>
    <x:row r="10" ht="30" customHeight="1">
      <x:c r="A10" s="5" t="str">
        <x:v>DEC-05</x:v>
      </x:c>
      <x:c r="B10" s="5" t="str">
        <x:v>DESIGN</x:v>
      </x:c>
      <x:c r="C10" s="5" t="str">
        <x:v>Preserve annotation v2; add linked extension records</x:v>
      </x:c>
      <x:c r="D10" s="5" t="str">
        <x:v>No silent incompatible envelope or database rename</x:v>
      </x:c>
      <x:c r="E10" s="13" t="str">
        <x:v>04</x:v>
      </x:c>
    </x:row>
    <x:row r="11" ht="30" customHeight="1">
      <x:c r="A11" s="5" t="str">
        <x:v>DEC-06</x:v>
      </x:c>
      <x:c r="B11" s="5" t="str">
        <x:v>DESIGN</x:v>
      </x:c>
      <x:c r="C11" s="5" t="str">
        <x:v>Module-owned finite routines and publish sequences</x:v>
      </x:c>
      <x:c r="D11" s="5" t="str">
        <x:v>No omitted general runtime dependency</x:v>
      </x:c>
      <x:c r="E11" s="13" t="str">
        <x:v>01/06/07</x:v>
      </x:c>
    </x:row>
    <x:row r="12" ht="30" customHeight="1">
      <x:c r="A12" s="5" t="str">
        <x:v>DEC-07</x:v>
      </x:c>
      <x:c r="B12" s="5" t="str">
        <x:v>USER</x:v>
      </x:c>
      <x:c r="C12" s="5" t="str">
        <x:v>Script Studio and Stay D.R.Y. are plugins</x:v>
      </x:c>
      <x:c r="D12" s="5" t="str">
        <x:v>Their source definitions retained within selected scope</x:v>
      </x:c>
      <x:c r="E12" s="13" t="str">
        <x:v>05/06</x:v>
      </x:c>
    </x:row>
    <x:row r="13" ht="30" customHeight="1">
      <x:c r="A13" s="5" t="str">
        <x:v>DEC-08</x:v>
      </x:c>
      <x:c r="B13" s="5" t="str">
        <x:v>USER</x:v>
      </x:c>
      <x:c r="C13" s="5" t="str">
        <x:v>Publisher is core; external platforms are plugins</x:v>
      </x:c>
      <x:c r="D13" s="5" t="str">
        <x:v>No generic single mandatory platform implementation</x:v>
      </x:c>
      <x:c r="E13" s="13" t="str">
        <x:v>07/08</x:v>
      </x:c>
    </x:row>
    <x:row r="14" ht="30" customHeight="1">
      <x:c r="A14" s="5" t="str">
        <x:v>DEC-09</x:v>
      </x:c>
      <x:c r="B14" s="5" t="str">
        <x:v>USER</x:v>
      </x:c>
      <x:c r="C14" s="5" t="str">
        <x:v>Backend/API/identity/sync deferred</x:v>
      </x:c>
      <x:c r="D14" s="5" t="str">
        <x:v>Local editions; blocked sharing/remote execution/continuity</x:v>
      </x:c>
      <x:c r="E14" s="13" t="str">
        <x:v>10</x:v>
      </x:c>
    </x:row>
    <x:row r="15" ht="30" customHeight="1">
      <x:c r="A15" s="5" t="str">
        <x:v>DEC-10</x:v>
      </x:c>
      <x:c r="B15" s="5" t="str">
        <x:v>DESIGN</x:v>
      </x:c>
      <x:c r="C15" s="5" t="str">
        <x:v>DRY three uses / 14 days; bounded evidence</x:v>
      </x:c>
      <x:c r="D15" s="5" t="str">
        <x:v>Defaults exposed and versioned; not historical claims</x:v>
      </x:c>
      <x:c r="E15" s="13" t="str">
        <x:v>06</x:v>
      </x:c>
    </x:row>
    <x:row r="16" ht="30" customHeight="1">
      <x:c r="A16" s="5" t="str">
        <x:v>DEC-11</x:v>
      </x:c>
      <x:c r="B16" s="5" t="str">
        <x:v>DESIGN</x:v>
      </x:c>
      <x:c r="C16" s="5" t="str">
        <x:v>Confirm immutable plan; uncertain effects never blindly retried</x:v>
      </x:c>
      <x:c r="D16" s="5" t="str">
        <x:v>Per-target operation identity and reconciliation</x:v>
      </x:c>
      <x:c r="E16" s="13" t="str">
        <x:v>07</x:v>
      </x:c>
    </x:row>
    <x:row r="17" ht="30" customHeight="1">
      <x:c r="A17" s="5" t="str">
        <x:v>DEC-12</x:v>
      </x:c>
      <x:c r="B17" s="5" t="str">
        <x:v>DESIGN</x:v>
      </x:c>
      <x:c r="C17" s="5" t="str">
        <x:v>Chrome 138+ userscript release floor; initial no bridge</x:v>
      </x:c>
      <x:c r="D17" s="5" t="str">
        <x:v>Retains C16 proposal and verifies platform requirements</x:v>
      </x:c>
      <x:c r="E17" s="13" t="str">
        <x:v>05</x:v>
      </x:c>
    </x:row>
    <x:row r="18" ht="30" customHeight="1">
      <x:c r="A18" s="5" t="str">
        <x:v>DEC-13</x:v>
      </x:c>
      <x:c r="B18" s="5" t="str">
        <x:v>DESIGN</x:v>
      </x:c>
      <x:c r="C18" s="5" t="str">
        <x:v>Publish.Publication is canonical selected name</x:v>
      </x:c>
      <x:c r="D18" s="5" t="str">
        <x:v>Resolves POSH.Publication wording inconsistency</x:v>
      </x:c>
      <x:c r="E18" s="13" t="str">
        <x:v>03/07</x:v>
      </x:c>
    </x:row>
    <x:row r="19" ht="30" customHeight="1">
      <x:c r="A19" s="5" t="str">
        <x:v>DEC-14</x:v>
      </x:c>
      <x:c r="B19" s="5" t="str">
        <x:v>DESIGN</x:v>
      </x:c>
      <x:c r="C19" s="5" t="str">
        <x:v>New portashape-local DB; old DB untouched</x:v>
      </x:c>
      <x:c r="D19" s="5" t="str">
        <x:v>No cross-database atomicity claim</x:v>
      </x:c>
      <x:c r="E19" s="13" t="str">
        <x:v>10</x:v>
      </x:c>
    </x:row>
    <x:row r="20" ht="30" customHeight="1">
      <x:c r="A20" s="5" t="str">
        <x:v>DEC-15</x:v>
      </x:c>
      <x:c r="B20" s="5" t="str">
        <x:v>USER</x:v>
      </x:c>
      <x:c r="C20" s="5" t="str">
        <x:v>Web/mobile and shared glossary/registry included</x:v>
      </x:c>
      <x:c r="D20" s="5" t="str">
        <x:v>No new third-party API program under deferred services</x:v>
      </x:c>
      <x:c r="E20" s="13" t="str">
        <x:v>09/12</x:v>
      </x:c>
    </x:row>
    <x:row r="21" ht="30" customHeight="1">
      <x:c r="A21" s="5" t="str">
        <x:v>DEC-16</x:v>
      </x:c>
      <x:c r="B21" s="5" t="str">
        <x:v>DESIGN</x:v>
      </x:c>
      <x:c r="C21" s="5" t="str">
        <x:v>Specific selected seams replace all-to-all graph</x:v>
      </x:c>
      <x:c r="D21" s="5" t="str">
        <x:v>Omitted projects absent from active dependencies</x:v>
      </x:c>
      <x:c r="E21" s="13" t="str">
        <x:v>01/12</x:v>
      </x:c>
    </x:row>
    <x:row r="22" ht="30" customHeight="1">
      <x:c r="A22" s="5" t="str">
        <x:v>DEC-17</x:v>
      </x:c>
      <x:c r="B22" s="5" t="str">
        <x:v>DESIGN</x:v>
      </x:c>
      <x:c r="C22" s="5" t="str">
        <x:v>Registry JSON + specs are authoring source; workbook is review surface</x:v>
      </x:c>
      <x:c r="D22" s="5" t="str">
        <x:v>Reconcile workbook edits in same change</x:v>
      </x:c>
      <x:c r="E22" s="13" t="str">
        <x:v>12</x:v>
      </x:c>
    </x:row>
    <x:row r="23" ht="30" customHeight="1">
      <x:c r="A23" s="5" t="str">
        <x:v>DEC-18</x:v>
      </x:c>
      <x:c r="B23" s="5" t="str">
        <x:v>INHERITED</x:v>
      </x:c>
      <x:c r="C23" s="5" t="str">
        <x:v>Two qualified live connector targets plus two labeled stubs</x:v>
      </x:c>
      <x:c r="D23" s="5" t="str">
        <x:v>Source goal retained; actual platform feasibility unasserted</x:v>
      </x:c>
      <x:c r="E23" s="13" t="str">
        <x:v>07/08</x:v>
      </x:c>
    </x:row>
  </x:sheetData>
  <x:pageMargins left="0.7" right="0.7" top="0.75" bottom="0.75" header="0.3" footer="0.3"/>
  <x:tableParts count="1">
    <x:tablePart xmlns:r="http://schemas.openxmlformats.org/officeDocument/2006/relationships" r:id="Rdeeabb8e879a476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890000343322754" hidden="0" customWidth="1"/>
    <x:col min="2" max="2" width="25.559999465942383" hidden="0" customWidth="1"/>
    <x:col min="3" max="3" width="33.33000183105469" hidden="0" customWidth="1"/>
    <x:col min="4" max="4" width="44.439998626708984" hidden="0" customWidth="1"/>
    <x:col min="5" max="5" width="8.890000343322754" hidden="0" customWidth="1"/>
    <x:col min="6" max="6" width="48.88999938964844" hidden="0" customWidth="1"/>
  </x:cols>
  <x:sheetData>
    <x:row r="1">
      <x:c r="A1" s="1"/>
      <x:c r="B1" s="1"/>
      <x:c r="C1" s="1"/>
      <x:c r="D1" s="1"/>
      <x:c r="E1" s="1"/>
      <x:c r="F1" s="1"/>
    </x:row>
    <x:row r="2" ht="26" customHeight="1">
      <x:c r="A2" s="2" t="str">
        <x:v>Traceability</x:v>
      </x:c>
      <x:c r="B2" s="1"/>
      <x:c r="C2" s="1"/>
      <x:c r="D2" s="1"/>
      <x:c r="E2" s="1"/>
      <x:c r="F2" s="1"/>
    </x:row>
    <x:row r="3">
      <x:c r="A3" s="3" t="str">
        <x:v>Companion 0.1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0" customHeight="1">
      <x:c r="A5" s="10" t="str">
        <x:v>ID</x:v>
      </x:c>
      <x:c r="B5" s="11" t="str">
        <x:v>Source</x:v>
      </x:c>
      <x:c r="C5" s="11" t="str">
        <x:v>Selected content</x:v>
      </x:c>
      <x:c r="D5" s="11" t="str">
        <x:v>Disposition</x:v>
      </x:c>
      <x:c r="E5" s="11" t="str">
        <x:v>Spec</x:v>
      </x:c>
      <x:c r="F5" s="12" t="str">
        <x:v>Reason</x:v>
      </x:c>
    </x:row>
    <x:row r="6" ht="30" customHeight="1">
      <x:c r="A6" s="5" t="str">
        <x:v>TR01</x:v>
      </x:c>
      <x:c r="B6" s="5" t="str">
        <x:v>D00</x:v>
      </x:c>
      <x:c r="C6" s="5" t="str">
        <x:v>Shared authority/index</x:v>
      </x:c>
      <x:c r="D6" s="5" t="str">
        <x:v>Retained with owner precedence</x:v>
      </x:c>
      <x:c r="E6" s="13" t="str">
        <x:v>00</x:v>
      </x:c>
      <x:c r="F6" s="5" t="str">
        <x:v>USER topology overrides source umbrella</x:v>
      </x:c>
    </x:row>
    <x:row r="7" ht="30" customHeight="1">
      <x:c r="A7" s="5" t="str">
        <x:v>TR02</x:v>
      </x:c>
      <x:c r="B7" s="5" t="str">
        <x:v>D05 C037-C046</x:v>
      </x:c>
      <x:c r="C7" s="5" t="str">
        <x:v>Script Studio components</x:v>
      </x:c>
      <x:c r="D7" s="5" t="str">
        <x:v>All ten retained; staged bridge/promotion</x:v>
      </x:c>
      <x:c r="E7" s="13" t="str">
        <x:v>05</x:v>
      </x:c>
      <x:c r="F7" s="5" t="str">
        <x:v>Replace omitted-project dependencies with selected host facade</x:v>
      </x:c>
    </x:row>
    <x:row r="8" ht="30" customHeight="1">
      <x:c r="A8" s="5" t="str">
        <x:v>TR03</x:v>
      </x:c>
      <x:c r="B8" s="5" t="str">
        <x:v>D06 C047-C056</x:v>
      </x:c>
      <x:c r="C8" s="5" t="str">
        <x:v>XtraType context components</x:v>
      </x:c>
      <x:c r="D8" s="5" t="str">
        <x:v>All ten retained; local/blocked modes explicit</x:v>
      </x:c>
      <x:c r="E8" s="13" t="str">
        <x:v>04</x:v>
      </x:c>
      <x:c r="F8" s="5" t="str">
        <x:v>Preserve v2; companion sidecars; shared modes blocked</x:v>
      </x:c>
    </x:row>
    <x:row r="9" ht="30" customHeight="1">
      <x:c r="A9" s="5" t="str">
        <x:v>TR04</x:v>
      </x:c>
      <x:c r="B9" s="5" t="str">
        <x:v>D07 C057-C066</x:v>
      </x:c>
      <x:c r="C9" s="5" t="str">
        <x:v>Stay D.R.Y. components</x:v>
      </x:c>
      <x:c r="D9" s="5" t="str">
        <x:v>All ten retained; text assistance first</x:v>
      </x:c>
      <x:c r="E9" s="13" t="str">
        <x:v>06</x:v>
      </x:c>
      <x:c r="F9" s="5" t="str">
        <x:v>Host mediates; finite local routine profile</x:v>
      </x:c>
    </x:row>
    <x:row r="10" ht="30" customHeight="1">
      <x:c r="A10" s="5" t="str">
        <x:v>TR05</x:v>
      </x:c>
      <x:c r="B10" s="5" t="str">
        <x:v>D08 C067-C078</x:v>
      </x:c>
      <x:c r="C10" s="5" t="str">
        <x:v>Publisher/connector components</x:v>
      </x:c>
      <x:c r="D10" s="5" t="str">
        <x:v>All twelve retained with core/plugin split</x:v>
      </x:c>
      <x:c r="E10" s="13" t="str">
        <x:v>07/08</x:v>
      </x:c>
      <x:c r="F10" s="5" t="str">
        <x:v>Direct declared transforms; no generic omitted engine</x:v>
      </x:c>
    </x:row>
    <x:row r="11" ht="30" customHeight="1">
      <x:c r="A11" s="5" t="str">
        <x:v>TR06</x:v>
      </x:c>
      <x:c r="B11" s="5" t="str">
        <x:v>D10</x:v>
      </x:c>
      <x:c r="C11" s="5" t="str">
        <x:v>Backend/API/identity/sync</x:v>
      </x:c>
      <x:c r="D11" s="5" t="str">
        <x:v>Deferred only</x:v>
      </x:c>
      <x:c r="E11" s="13" t="str">
        <x:v>10</x:v>
      </x:c>
      <x:c r="F11" s="5" t="str">
        <x:v>No component/service implementation imported</x:v>
      </x:c>
    </x:row>
    <x:row r="12" ht="30" customHeight="1">
      <x:c r="A12" s="5" t="str">
        <x:v>TR07</x:v>
      </x:c>
      <x:c r="B12" s="5" t="str">
        <x:v>D11 C103-C110</x:v>
      </x:c>
      <x:c r="C12" s="5" t="str">
        <x:v>Web/mobile components</x:v>
      </x:c>
      <x:c r="D12" s="5" t="str">
        <x:v>Eight retained with locality/dependency gates</x:v>
      </x:c>
      <x:c r="E12" s="13" t="str">
        <x:v>09</x:v>
      </x:c>
      <x:c r="F12" s="5" t="str">
        <x:v>No remote execution or invented service availability</x:v>
      </x:c>
    </x:row>
    <x:row r="13" ht="30" customHeight="1">
      <x:c r="A13" s="5" t="str">
        <x:v>TR08</x:v>
      </x:c>
      <x:c r="B13" s="5" t="str">
        <x:v>D11 C111</x:v>
      </x:c>
      <x:c r="C13" s="5" t="str">
        <x:v>Third-party API client boundary</x:v>
      </x:c>
      <x:c r="D13" s="5" t="str">
        <x:v>Not active; tied to deferred service plane</x:v>
      </x:c>
      <x:c r="E13" s="13" t="str">
        <x:v>09/10</x:v>
      </x:c>
      <x:c r="F13" s="5" t="str">
        <x:v>No new external API developer program</x:v>
      </x:c>
    </x:row>
    <x:row r="14" ht="30" customHeight="1">
      <x:c r="A14" s="5" t="str">
        <x:v>TR09</x:v>
      </x:c>
      <x:c r="B14" s="5" t="str">
        <x:v>D12</x:v>
      </x:c>
      <x:c r="C14" s="5" t="str">
        <x:v>Glossary/shared shapes/capability meanings</x:v>
      </x:c>
      <x:c r="D14" s="5" t="str">
        <x:v>Selected vocabulary only</x:v>
      </x:c>
      <x:c r="E14" s="13" t="str">
        <x:v>03/12</x:v>
      </x:c>
      <x:c r="F14" s="5" t="str">
        <x:v>No chat or omitted-project contract family imported</x:v>
      </x:c>
    </x:row>
    <x:row r="15" ht="30" customHeight="1">
      <x:c r="A15" s="5" t="str">
        <x:v>TR10</x:v>
      </x:c>
      <x:c r="B15" s="5" t="str">
        <x:v>W</x:v>
      </x:c>
      <x:c r="C15" s="5" t="str">
        <x:v>Component/contract/interaction inventory</x:v>
      </x:c>
      <x:c r="D15" s="5" t="str">
        <x:v>Filtered and re-owned registry</x:v>
      </x:c>
      <x:c r="E15" s="13" t="str">
        <x:v>12</x:v>
      </x:c>
      <x:c r="F15" s="5" t="str">
        <x:v>All-to-all topology removed; source IDs retained</x:v>
      </x:c>
    </x:row>
    <x:row r="16" ht="30" customHeight="1">
      <x:c r="A16" s="5" t="str">
        <x:v>TR11</x:v>
      </x:c>
      <x:c r="B16" s="5" t="str">
        <x:v>Current canon C01/C16</x:v>
      </x:c>
      <x:c r="C16" s="5" t="str">
        <x:v>PortaShape boundary/userscript scope</x:v>
      </x:c>
      <x:c r="D16" s="5" t="str">
        <x:v>Selective target overrides only</x:v>
      </x:c>
      <x:c r="E16" s="13" t="str">
        <x:v>00/05</x:v>
      </x:c>
      <x:c r="F16" s="5" t="str">
        <x:v>Current-state evidence unchanged</x:v>
      </x:c>
    </x:row>
    <x:row r="17" ht="30" customHeight="1">
      <x:c r="A17" s="5" t="str">
        <x:v>TR12</x:v>
      </x:c>
      <x:c r="B17" s="5" t="str">
        <x:v>Current canon C04/C10/C15</x:v>
      </x:c>
      <x:c r="C17" s="5" t="str">
        <x:v>Records/storage/stabilization</x:v>
      </x:c>
      <x:c r="D17" s="5" t="str">
        <x:v>Preserved foundation/prerequisites</x:v>
      </x:c>
      <x:c r="E17" s="13" t="str">
        <x:v>04/10/11</x:v>
      </x:c>
      <x:c r="F17" s="5" t="str">
        <x:v>No renamed DB or false atomicity</x:v>
      </x:c>
    </x:row>
    <x:row r="18" ht="30" customHeight="1">
      <x:c r="A18" s="5" t="str">
        <x:v>TR13</x:v>
      </x:c>
      <x:c r="B18" s="5" t="str">
        <x:v>D08 first MVP</x:v>
      </x:c>
      <x:c r="C18" s="5" t="str">
        <x:v>Named example targets</x:v>
      </x:c>
      <x:c r="D18" s="5" t="str">
        <x:v>Candidate shapes, not support promises</x:v>
      </x:c>
      <x:c r="E18" s="13" t="str">
        <x:v>07/08</x:v>
      </x:c>
      <x:c r="F18" s="5" t="str">
        <x:v>Feasibility evidence required for actual selection</x:v>
      </x:c>
    </x:row>
    <x:row r="19" ht="30" customHeight="1">
      <x:c r="A19" s="5" t="str">
        <x:v>TR14</x:v>
      </x:c>
      <x:c r="B19" s="5" t="str">
        <x:v>D05/D07 roadmap</x:v>
      </x:c>
      <x:c r="C19" s="5" t="str">
        <x:v>Shared libraries/remote stubs/team routines</x:v>
      </x:c>
      <x:c r="D19" s="5" t="str">
        <x:v>Local portions staged; service-dependent portions blocked</x:v>
      </x:c>
      <x:c r="E19" s="13" t="str">
        <x:v>05/06/10</x:v>
      </x:c>
      <x:c r="F19" s="5" t="str">
        <x:v>No backend or omitted intelligence modules inferred</x:v>
      </x:c>
    </x:row>
    <x:row r="20" ht="30" customHeight="1">
      <x:c r="A20" s="5" t="str">
        <x:v>TR15</x:v>
      </x:c>
      <x:c r="B20" s="5" t="str">
        <x:v>D08 roadmap</x:v>
      </x:c>
      <x:c r="C20" s="5" t="str">
        <x:v>Scheduling/two-way sync/catalog</x:v>
      </x:c>
      <x:c r="D20" s="5" t="str">
        <x:v>Retained direction within selected concern</x:v>
      </x:c>
      <x:c r="E20" s="13" t="str">
        <x:v>07</x:v>
      </x:c>
      <x:c r="F20" s="5" t="str">
        <x:v>Reliable remote/deferred-service execution blocked</x:v>
      </x:c>
    </x:row>
    <x:row r="21" ht="30" customHeight="1">
      <x:c r="A21" s="5" t="str">
        <x:v>TR16</x:v>
      </x:c>
      <x:c r="B21" s="5" t="str">
        <x:v>D11 roadmap</x:v>
      </x:c>
      <x:c r="C21" s="5" t="str">
        <x:v>Native/locality/parity</x:v>
      </x:c>
      <x:c r="D21" s="5" t="str">
        <x:v>Local shell later; sync/remote notifications blocked</x:v>
      </x:c>
      <x:c r="E21" s="13" t="str">
        <x:v>09</x:v>
      </x:c>
      <x:c r="F21" s="5" t="str">
        <x:v>Resolve conflicting old native stage labels explicitly</x:v>
      </x:c>
    </x:row>
  </x:sheetData>
  <x:pageMargins left="0.7" right="0.7" top="0.75" bottom="0.75" header="0.3" footer="0.3"/>
  <x:tableParts count="1">
    <x:tablePart xmlns:r="http://schemas.openxmlformats.org/officeDocument/2006/relationships" r:id="R48115b8854b14654"/>
  </x:tableParts>
</x:worksheet>
</file>